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gresos y Gastos" sheetId="1" r:id="rId5"/>
    <sheet state="visible" name="Meta - Ingresos y Ahorro " sheetId="2" r:id="rId6"/>
    <sheet state="visible" name="Análisis y Panel" sheetId="3" r:id="rId7"/>
    <sheet state="visible" name="Recursos" sheetId="4" r:id="rId8"/>
  </sheets>
  <definedNames>
    <definedName hidden="1" localSheetId="0" name="_xlnm._FilterDatabase">'Ingresos y Gastos'!$A$1:$G$563</definedName>
    <definedName hidden="1" localSheetId="0" name="Z_AEC65018_F8D7_45EA_8A4E_A41562D28F56_.wvu.FilterData">'Ingresos y Gastos'!$A$1:$G$563</definedName>
    <definedName hidden="1" localSheetId="0" name="Z_AEC65018_F8D7_45EA_8A4E_A41562D28F56_.wvu.FilterData">'Ingresos y Gastos'!$A$1:$G$563</definedName>
    <definedName name="SlicerCache_Table_1_Col_2">#N/A</definedName>
    <definedName name="SlicerCache_Table_1_Col_3">#N/A</definedName>
  </definedNames>
  <calcPr/>
  <customWorkbookViews>
    <customWorkbookView activeSheetId="0" maximized="1" windowHeight="0" windowWidth="0" guid="{AEC65018-F8D7-45EA-8A4E-A41562D28F56}" name="Filtro 1"/>
  </customWorkbookViews>
  <pivotCaches>
    <pivotCache cacheId="0" r:id="rId9"/>
    <pivotCache cacheId="1" r:id="rId10"/>
    <pivotCache cacheId="2" r:id="rId11"/>
    <pivotCache cacheId="3" r:id="rId12"/>
    <pivotCache cacheId="4" r:id="rId13"/>
  </pivotCaches>
  <extLst>
    <ext uri="{46BE6895-7355-4a93-B00E-2C351335B9C9}">
      <x15:slicerCaches>
        <x14:slicerCache r:id="rId14"/>
        <x14:slicerCache r:id="rId15"/>
      </x15:slicerCaches>
    </ext>
  </extLst>
</workbook>
</file>

<file path=xl/sharedStrings.xml><?xml version="1.0" encoding="utf-8"?>
<sst xmlns="http://schemas.openxmlformats.org/spreadsheetml/2006/main" count="1805" uniqueCount="78">
  <si>
    <t>Fecha</t>
  </si>
  <si>
    <t>Trimestre</t>
  </si>
  <si>
    <t>Semestre</t>
  </si>
  <si>
    <t>Tipo</t>
  </si>
  <si>
    <t>Categoría</t>
  </si>
  <si>
    <t>Sub-categoría</t>
  </si>
  <si>
    <t>Monto</t>
  </si>
  <si>
    <t>Gastos</t>
  </si>
  <si>
    <t>Hogar</t>
  </si>
  <si>
    <t>Comida</t>
  </si>
  <si>
    <t>Personal</t>
  </si>
  <si>
    <t>Educación</t>
  </si>
  <si>
    <t>Ropa</t>
  </si>
  <si>
    <t>Transporte</t>
  </si>
  <si>
    <t>Mantenimiento</t>
  </si>
  <si>
    <t>Entretenimiento</t>
  </si>
  <si>
    <t>Viaje</t>
  </si>
  <si>
    <t>Peaje</t>
  </si>
  <si>
    <t>Estacionamiento</t>
  </si>
  <si>
    <t>Mascotas</t>
  </si>
  <si>
    <t>Comida de Mascota</t>
  </si>
  <si>
    <t>Ingresos</t>
  </si>
  <si>
    <t>Ingreso Principal</t>
  </si>
  <si>
    <t>Salario</t>
  </si>
  <si>
    <t>Ingreso Extra</t>
  </si>
  <si>
    <t>Negocio</t>
  </si>
  <si>
    <t>Electricidad</t>
  </si>
  <si>
    <t>Renta</t>
  </si>
  <si>
    <t>Internert+Cable</t>
  </si>
  <si>
    <t>Agua</t>
  </si>
  <si>
    <t>Gas</t>
  </si>
  <si>
    <t>Seguro vehicular</t>
  </si>
  <si>
    <t>Suscripción de streaming</t>
  </si>
  <si>
    <t>Medicina-Masc</t>
  </si>
  <si>
    <t>Mes</t>
  </si>
  <si>
    <t>Meta de Ingresos</t>
  </si>
  <si>
    <t>Meta de Ahorro</t>
  </si>
  <si>
    <t>Enero</t>
  </si>
  <si>
    <t>Febrero</t>
  </si>
  <si>
    <t>Marzo</t>
  </si>
  <si>
    <t>Abril</t>
  </si>
  <si>
    <t>Mayo</t>
  </si>
  <si>
    <t>Junio</t>
  </si>
  <si>
    <t>Julio</t>
  </si>
  <si>
    <t>Agosto</t>
  </si>
  <si>
    <t>Septiembre</t>
  </si>
  <si>
    <t>Octubre</t>
  </si>
  <si>
    <t>Noviembre</t>
  </si>
  <si>
    <t>Diciembre</t>
  </si>
  <si>
    <t>Gasto Mensual</t>
  </si>
  <si>
    <t>Saldo Mensual antes del Ahorro</t>
  </si>
  <si>
    <t>Ingresos vs Meta</t>
  </si>
  <si>
    <t>Ahorro Mensual</t>
  </si>
  <si>
    <t>Principales Gastos</t>
  </si>
  <si>
    <t>Fecha - Mes</t>
  </si>
  <si>
    <t>SUM de Monto</t>
  </si>
  <si>
    <t>ene</t>
  </si>
  <si>
    <t>Saldo</t>
  </si>
  <si>
    <t>Ahorro</t>
  </si>
  <si>
    <t>feb</t>
  </si>
  <si>
    <t>mar</t>
  </si>
  <si>
    <t>abr</t>
  </si>
  <si>
    <t>Saldo antes del Ahorro</t>
  </si>
  <si>
    <t>may</t>
  </si>
  <si>
    <t>jun</t>
  </si>
  <si>
    <t>Suma total</t>
  </si>
  <si>
    <t>Saldo Disponible</t>
  </si>
  <si>
    <t>jul</t>
  </si>
  <si>
    <t>ago</t>
  </si>
  <si>
    <t>sept</t>
  </si>
  <si>
    <t>oct</t>
  </si>
  <si>
    <t>nov</t>
  </si>
  <si>
    <t>dic</t>
  </si>
  <si>
    <t>Suma Total</t>
  </si>
  <si>
    <t>Suma Ahorro</t>
  </si>
  <si>
    <t>Var.</t>
  </si>
  <si>
    <t>Suma Meta de Ahorro</t>
  </si>
  <si>
    <t>Var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</si>
</sst>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
    <numFmt numFmtId="166" formatCode="d/m/yyyy"/>
    <numFmt numFmtId="167" formatCode="m/d/yyyy h:mm:ss"/>
    <numFmt numFmtId="168" formatCode="[$USD $]#,##0"/>
  </numFmts>
  <fonts count="3">
    <font>
      <sz val="10.0"/>
      <color rgb="FF000000"/>
      <name val="Arial"/>
      <scheme val="minor"/>
    </font>
    <font>
      <color theme="1"/>
      <name val="Arial"/>
      <scheme val="minor"/>
    </font>
    <font>
      <sz val="10.0"/>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horizontal="left" readingOrder="0" shrinkToFit="0" vertical="center" wrapText="0"/>
    </xf>
    <xf borderId="0" fillId="0" fontId="1" numFmtId="3" xfId="0" applyAlignment="1" applyFont="1" applyNumberFormat="1">
      <alignment readingOrder="0" shrinkToFit="0" vertical="center" wrapText="0"/>
    </xf>
    <xf borderId="0" fillId="0" fontId="1" numFmtId="0" xfId="0" applyAlignment="1" applyFont="1">
      <alignment readingOrder="0"/>
    </xf>
    <xf borderId="0" fillId="0" fontId="2" numFmtId="0" xfId="0" applyFont="1"/>
    <xf borderId="0" fillId="0" fontId="1" numFmtId="0" xfId="0" applyFont="1"/>
    <xf borderId="0" fillId="0" fontId="1" numFmtId="167" xfId="0" applyFont="1" applyNumberFormat="1"/>
    <xf borderId="0" fillId="0" fontId="1" numFmtId="165" xfId="0" applyFont="1" applyNumberFormat="1"/>
    <xf borderId="0" fillId="0" fontId="1" numFmtId="165" xfId="0" applyAlignment="1" applyFont="1" applyNumberFormat="1">
      <alignment readingOrder="0"/>
    </xf>
    <xf borderId="0" fillId="0" fontId="1" numFmtId="10" xfId="0" applyAlignment="1" applyFont="1" applyNumberFormat="1">
      <alignment readingOrder="0"/>
    </xf>
    <xf borderId="0" fillId="2" fontId="1" numFmtId="165" xfId="0" applyAlignment="1" applyFill="1" applyFont="1" applyNumberFormat="1">
      <alignment readingOrder="0"/>
    </xf>
    <xf borderId="0" fillId="0" fontId="1" numFmtId="10" xfId="0" applyFont="1" applyNumberFormat="1"/>
    <xf borderId="0" fillId="2" fontId="1" numFmtId="168" xfId="0" applyFont="1" applyNumberFormat="1"/>
    <xf borderId="0" fillId="2" fontId="1" numFmtId="165" xfId="0" applyFont="1" applyNumberFormat="1"/>
    <xf borderId="0" fillId="0" fontId="1" numFmtId="3"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Ingresos y Gastos-style">
      <tableStyleElement dxfId="1" type="headerRow"/>
      <tableStyleElement dxfId="2" type="firstRowStripe"/>
      <tableStyleElement dxfId="3" type="secondRowStripe"/>
      <tableStyleElement dxfId="4" size="0" type="wholeTable"/>
    </tableStyle>
    <tableStyle count="4" pivot="0" name="Meta - Ingresos y Ahorro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pivotCacheDefinition" Target="pivotCache/pivotCacheDefinition3.xml"/><Relationship Id="rId10" Type="http://schemas.openxmlformats.org/officeDocument/2006/relationships/pivotCacheDefinition" Target="pivotCache/pivotCacheDefinition2.xml"/><Relationship Id="rId13" Type="http://schemas.openxmlformats.org/officeDocument/2006/relationships/pivotCacheDefinition" Target="pivotCache/pivotCacheDefinition5.xml"/><Relationship Id="rId12" Type="http://schemas.openxmlformats.org/officeDocument/2006/relationships/pivotCacheDefinition" Target="pivotCache/pivotCacheDefinition4.xml"/><Relationship Id="rId15" Type="http://schemas.microsoft.com/office/2007/relationships/slicerCache" Target="slicerCaches/slicerCache2.xml"/><Relationship Id="rId14"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999999"/>
                </a:solidFill>
                <a:latin typeface="Roboto"/>
              </a:defRPr>
            </a:pPr>
            <a:r>
              <a:rPr b="1" sz="1600">
                <a:solidFill>
                  <a:srgbClr val="999999"/>
                </a:solidFill>
                <a:latin typeface="Roboto"/>
              </a:rPr>
              <a:t>Saldo Mensual antes de Ahorro</a:t>
            </a:r>
          </a:p>
        </c:rich>
      </c:tx>
      <c:overlay val="0"/>
    </c:title>
    <c:plotArea>
      <c:layout/>
      <c:lineChart>
        <c:varyColors val="0"/>
        <c:ser>
          <c:idx val="0"/>
          <c:order val="0"/>
          <c:tx>
            <c:strRef>
              <c:f>'Análisis y Panel'!$AB$8</c:f>
            </c:strRef>
          </c:tx>
          <c:spPr>
            <a:ln cmpd="sng" w="38100">
              <a:solidFill>
                <a:srgbClr val="073763">
                  <a:alpha val="100000"/>
                </a:srgbClr>
              </a:solidFill>
            </a:ln>
          </c:spPr>
          <c:marker>
            <c:symbol val="circle"/>
            <c:size val="7"/>
            <c:spPr>
              <a:solidFill>
                <a:srgbClr val="073763">
                  <a:alpha val="100000"/>
                </a:srgbClr>
              </a:solidFill>
              <a:ln cmpd="sng">
                <a:solidFill>
                  <a:srgbClr val="073763">
                    <a:alpha val="100000"/>
                  </a:srgbClr>
                </a:solidFill>
              </a:ln>
            </c:spPr>
          </c:marker>
          <c:dLbls>
            <c:numFmt formatCode="General" sourceLinked="1"/>
            <c:txPr>
              <a:bodyPr/>
              <a:lstStyle/>
              <a:p>
                <a:pPr lvl="0">
                  <a:defRPr/>
                </a:pPr>
              </a:p>
            </c:txPr>
            <c:showLegendKey val="0"/>
            <c:showVal val="1"/>
            <c:showCatName val="0"/>
            <c:showSerName val="0"/>
            <c:showPercent val="0"/>
            <c:showBubbleSize val="0"/>
          </c:dLbls>
          <c:cat>
            <c:strRef>
              <c:f>'Análisis y Panel'!$AA$9:$AA$20</c:f>
            </c:strRef>
          </c:cat>
          <c:val>
            <c:numRef>
              <c:f>'Análisis y Panel'!$AB$9:$AB$20</c:f>
              <c:numCache/>
            </c:numRef>
          </c:val>
          <c:smooth val="1"/>
        </c:ser>
        <c:axId val="1896703599"/>
        <c:axId val="1931127725"/>
      </c:lineChart>
      <c:catAx>
        <c:axId val="1896703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1127725"/>
      </c:catAx>
      <c:valAx>
        <c:axId val="1931127725"/>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chemeClr val="lt1"/>
                </a:solidFill>
                <a:latin typeface="+mn-lt"/>
              </a:defRPr>
            </a:pPr>
          </a:p>
        </c:txPr>
        <c:crossAx val="1896703599"/>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999999"/>
                </a:solidFill>
                <a:latin typeface="Roboto"/>
              </a:defRPr>
            </a:pPr>
            <a:r>
              <a:rPr b="1">
                <a:solidFill>
                  <a:srgbClr val="999999"/>
                </a:solidFill>
                <a:latin typeface="Roboto"/>
              </a:rPr>
              <a:t>Gastos Mensual</a:t>
            </a:r>
          </a:p>
        </c:rich>
      </c:tx>
      <c:overlay val="0"/>
    </c:title>
    <c:plotArea>
      <c:layout/>
      <c:lineChart>
        <c:varyColors val="0"/>
        <c:ser>
          <c:idx val="0"/>
          <c:order val="0"/>
          <c:tx>
            <c:strRef>
              <c:f>'Análisis y Panel'!$U$7</c:f>
            </c:strRef>
          </c:tx>
          <c:spPr>
            <a:ln cmpd="sng" w="38100">
              <a:solidFill>
                <a:srgbClr val="744CFF">
                  <a:alpha val="100000"/>
                </a:srgbClr>
              </a:solidFill>
            </a:ln>
          </c:spPr>
          <c:marker>
            <c:symbol val="circle"/>
            <c:size val="7"/>
            <c:spPr>
              <a:solidFill>
                <a:srgbClr val="744CFF">
                  <a:alpha val="100000"/>
                </a:srgbClr>
              </a:solidFill>
              <a:ln cmpd="sng">
                <a:solidFill>
                  <a:srgbClr val="744CFF">
                    <a:alpha val="100000"/>
                  </a:srgbClr>
                </a:solidFill>
              </a:ln>
            </c:spPr>
          </c:marke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4385F4">
                    <a:alpha val="40000"/>
                  </a:srgbClr>
                </a:solidFill>
              </a:ln>
            </c:spPr>
            <c:trendlineType val="linear"/>
            <c:dispRSqr val="0"/>
            <c:dispEq val="0"/>
          </c:trendline>
          <c:cat>
            <c:strRef>
              <c:f>'Análisis y Panel'!$T$8:$T$19</c:f>
            </c:strRef>
          </c:cat>
          <c:val>
            <c:numRef>
              <c:f>'Análisis y Panel'!$U$8:$U$19</c:f>
              <c:numCache/>
            </c:numRef>
          </c:val>
          <c:smooth val="1"/>
        </c:ser>
        <c:axId val="781756931"/>
        <c:axId val="1227870682"/>
      </c:lineChart>
      <c:catAx>
        <c:axId val="7817569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27870682"/>
      </c:catAx>
      <c:valAx>
        <c:axId val="1227870682"/>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sz="600">
                <a:solidFill>
                  <a:srgbClr val="FFFFFF"/>
                </a:solidFill>
                <a:latin typeface="+mn-lt"/>
              </a:defRPr>
            </a:pPr>
          </a:p>
        </c:txPr>
        <c:crossAx val="781756931"/>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999999"/>
                </a:solidFill>
                <a:latin typeface="Roboto"/>
              </a:defRPr>
            </a:pPr>
            <a:r>
              <a:rPr b="1" sz="1600">
                <a:solidFill>
                  <a:srgbClr val="999999"/>
                </a:solidFill>
                <a:latin typeface="Roboto"/>
              </a:rPr>
              <a:t>Ingresos vs Metas</a:t>
            </a:r>
          </a:p>
        </c:rich>
      </c:tx>
      <c:overlay val="0"/>
    </c:title>
    <c:plotArea>
      <c:layout/>
      <c:lineChart>
        <c:ser>
          <c:idx val="0"/>
          <c:order val="0"/>
          <c:tx>
            <c:strRef>
              <c:f>'Análisis y Panel'!$AH$7</c:f>
            </c:strRef>
          </c:tx>
          <c:spPr>
            <a:ln cmpd="sng" w="38100">
              <a:solidFill>
                <a:srgbClr val="30D1F5">
                  <a:alpha val="100000"/>
                </a:srgbClr>
              </a:solidFill>
            </a:ln>
          </c:spPr>
          <c:marker>
            <c:symbol val="none"/>
          </c:marker>
          <c:cat>
            <c:strRef>
              <c:f>'Análisis y Panel'!$AG$8:$AG$19</c:f>
            </c:strRef>
          </c:cat>
          <c:val>
            <c:numRef>
              <c:f>'Análisis y Panel'!$AH$8:$AH$19</c:f>
              <c:numCache/>
            </c:numRef>
          </c:val>
          <c:smooth val="1"/>
        </c:ser>
        <c:ser>
          <c:idx val="1"/>
          <c:order val="1"/>
          <c:tx>
            <c:strRef>
              <c:f>'Análisis y Panel'!$AI$7</c:f>
            </c:strRef>
          </c:tx>
          <c:spPr>
            <a:ln cmpd="sng">
              <a:solidFill>
                <a:srgbClr val="999999">
                  <a:alpha val="100000"/>
                </a:srgbClr>
              </a:solidFill>
              <a:prstDash val="sysDot"/>
            </a:ln>
          </c:spPr>
          <c:marker>
            <c:symbol val="none"/>
          </c:marker>
          <c:cat>
            <c:strRef>
              <c:f>'Análisis y Panel'!$AG$8:$AG$19</c:f>
            </c:strRef>
          </c:cat>
          <c:val>
            <c:numRef>
              <c:f>'Análisis y Panel'!$AI$8:$AI$19</c:f>
              <c:numCache/>
            </c:numRef>
          </c:val>
          <c:smooth val="1"/>
        </c:ser>
        <c:axId val="1316671210"/>
        <c:axId val="1061344584"/>
      </c:lineChart>
      <c:catAx>
        <c:axId val="13166712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1344584"/>
      </c:catAx>
      <c:valAx>
        <c:axId val="10613445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6671210"/>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999999"/>
                </a:solidFill>
                <a:latin typeface="Roboto"/>
              </a:defRPr>
            </a:pPr>
            <a:r>
              <a:rPr b="1" sz="1600">
                <a:solidFill>
                  <a:srgbClr val="999999"/>
                </a:solidFill>
                <a:latin typeface="Roboto"/>
              </a:rPr>
              <a:t>Ahorro Mensual</a:t>
            </a:r>
          </a:p>
        </c:rich>
      </c:tx>
      <c:overlay val="0"/>
    </c:title>
    <c:plotArea>
      <c:layout/>
      <c:barChart>
        <c:barDir val="col"/>
        <c:ser>
          <c:idx val="0"/>
          <c:order val="0"/>
          <c:tx>
            <c:strRef>
              <c:f>'Análisis y Panel'!$AS$8</c:f>
            </c:strRef>
          </c:tx>
          <c:spPr>
            <a:solidFill>
              <a:srgbClr val="07376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'Análisis y Panel'!$AR$9:$AR$20</c:f>
            </c:strRef>
          </c:cat>
          <c:val>
            <c:numRef>
              <c:f>'Análisis y Panel'!$AS$9:$AS$20</c:f>
              <c:numCache/>
            </c:numRef>
          </c:val>
        </c:ser>
        <c:axId val="1944919232"/>
        <c:axId val="1085993610"/>
      </c:barChart>
      <c:catAx>
        <c:axId val="19449192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85993610"/>
      </c:catAx>
      <c:valAx>
        <c:axId val="1085993610"/>
        <c:scaling>
          <c:orientation val="minMax"/>
        </c:scaling>
        <c:delete val="0"/>
        <c:axPos val="l"/>
        <c:majorGridlines>
          <c:spPr>
            <a:ln>
              <a:solidFill>
                <a:srgbClr val="FFFFFF"/>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FFFFFF"/>
                </a:solidFill>
                <a:latin typeface="+mn-lt"/>
              </a:defRPr>
            </a:pPr>
          </a:p>
        </c:txPr>
        <c:crossAx val="1944919232"/>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40" Type="http://schemas.openxmlformats.org/officeDocument/2006/relationships/image" Target="../media/image9.png"/><Relationship Id="rId20" Type="http://schemas.openxmlformats.org/officeDocument/2006/relationships/image" Target="../media/Chart20.png"/><Relationship Id="rId22" Type="http://schemas.openxmlformats.org/officeDocument/2006/relationships/image" Target="../media/Chart22.png"/><Relationship Id="rId21" Type="http://schemas.openxmlformats.org/officeDocument/2006/relationships/image" Target="../media/Chart21.png"/><Relationship Id="rId24" Type="http://schemas.openxmlformats.org/officeDocument/2006/relationships/image" Target="../media/Chart24.png"/><Relationship Id="rId23" Type="http://schemas.openxmlformats.org/officeDocument/2006/relationships/image" Target="../media/Chart23.png"/><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4.png"/><Relationship Id="rId9" Type="http://schemas.openxmlformats.org/officeDocument/2006/relationships/image" Target="../media/Chart9.png"/><Relationship Id="rId26" Type="http://schemas.openxmlformats.org/officeDocument/2006/relationships/image" Target="../media/image6.png"/><Relationship Id="rId25" Type="http://schemas.openxmlformats.org/officeDocument/2006/relationships/image" Target="../media/Chart25.png"/><Relationship Id="rId28" Type="http://schemas.openxmlformats.org/officeDocument/2006/relationships/image" Target="../media/image2.png"/><Relationship Id="rId27" Type="http://schemas.openxmlformats.org/officeDocument/2006/relationships/image" Target="../media/image5.png"/><Relationship Id="rId5" Type="http://schemas.openxmlformats.org/officeDocument/2006/relationships/chart" Target="../charts/chart4.xml"/><Relationship Id="rId6" Type="http://schemas.openxmlformats.org/officeDocument/2006/relationships/image" Target="../media/Chart6.png"/><Relationship Id="rId29" Type="http://schemas.openxmlformats.org/officeDocument/2006/relationships/image" Target="../media/image1.png"/><Relationship Id="rId7" Type="http://schemas.openxmlformats.org/officeDocument/2006/relationships/image" Target="../media/Chart7.png"/><Relationship Id="rId8" Type="http://schemas.openxmlformats.org/officeDocument/2006/relationships/image" Target="../media/Chart8.png"/><Relationship Id="rId31" Type="http://schemas.openxmlformats.org/officeDocument/2006/relationships/image" Target="../media/image4.png"/><Relationship Id="rId30" Type="http://schemas.openxmlformats.org/officeDocument/2006/relationships/image" Target="../media/image12.png"/><Relationship Id="rId11" Type="http://schemas.openxmlformats.org/officeDocument/2006/relationships/image" Target="../media/Chart11.png"/><Relationship Id="rId33" Type="http://schemas.openxmlformats.org/officeDocument/2006/relationships/image" Target="../media/image11.png"/><Relationship Id="rId10" Type="http://schemas.openxmlformats.org/officeDocument/2006/relationships/image" Target="../media/Chart10.png"/><Relationship Id="rId32" Type="http://schemas.openxmlformats.org/officeDocument/2006/relationships/image" Target="../media/image7.png"/><Relationship Id="rId13" Type="http://schemas.openxmlformats.org/officeDocument/2006/relationships/image" Target="../media/Chart13.png"/><Relationship Id="rId35" Type="http://schemas.openxmlformats.org/officeDocument/2006/relationships/image" Target="../media/image3.png"/><Relationship Id="rId12" Type="http://schemas.openxmlformats.org/officeDocument/2006/relationships/image" Target="../media/Chart12.png"/><Relationship Id="rId34" Type="http://schemas.openxmlformats.org/officeDocument/2006/relationships/image" Target="../media/image13.png"/><Relationship Id="rId15" Type="http://schemas.openxmlformats.org/officeDocument/2006/relationships/image" Target="../media/Chart15.png"/><Relationship Id="rId37" Type="http://schemas.openxmlformats.org/officeDocument/2006/relationships/image" Target="../media/image14.png"/><Relationship Id="rId14" Type="http://schemas.openxmlformats.org/officeDocument/2006/relationships/image" Target="../media/Chart14.png"/><Relationship Id="rId36" Type="http://schemas.openxmlformats.org/officeDocument/2006/relationships/image" Target="../media/image8.png"/><Relationship Id="rId17" Type="http://schemas.openxmlformats.org/officeDocument/2006/relationships/image" Target="../media/Chart17.png"/><Relationship Id="rId39" Type="http://schemas.openxmlformats.org/officeDocument/2006/relationships/image" Target="../media/image15.png"/><Relationship Id="rId16" Type="http://schemas.openxmlformats.org/officeDocument/2006/relationships/image" Target="../media/Chart16.png"/><Relationship Id="rId38" Type="http://schemas.openxmlformats.org/officeDocument/2006/relationships/image" Target="../media/image10.png"/><Relationship Id="rId19" Type="http://schemas.openxmlformats.org/officeDocument/2006/relationships/image" Target="../media/Chart19.png"/><Relationship Id="rId18" Type="http://schemas.openxmlformats.org/officeDocument/2006/relationships/image" Target="../media/Chart18.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12.png"/><Relationship Id="rId6" Type="http://schemas.openxmlformats.org/officeDocument/2006/relationships/image" Target="../media/image4.png"/><Relationship Id="rId7"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781050</xdr:colOff>
      <xdr:row>4</xdr:row>
      <xdr:rowOff>95250</xdr:rowOff>
    </xdr:from>
    <xdr:ext cx="4105275" cy="23526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66675</xdr:colOff>
      <xdr:row>4</xdr:row>
      <xdr:rowOff>47625</xdr:rowOff>
    </xdr:from>
    <xdr:ext cx="4105275" cy="24288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190500</xdr:colOff>
      <xdr:row>17</xdr:row>
      <xdr:rowOff>152400</xdr:rowOff>
    </xdr:from>
    <xdr:ext cx="4238625" cy="23526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200025</xdr:colOff>
      <xdr:row>16</xdr:row>
      <xdr:rowOff>152400</xdr:rowOff>
    </xdr:from>
    <xdr:ext cx="1428750" cy="552450"/>
    <xdr:pic>
      <xdr:nvPicPr>
        <xdr:cNvPr id="2122625230"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66675</xdr:colOff>
      <xdr:row>17</xdr:row>
      <xdr:rowOff>152400</xdr:rowOff>
    </xdr:from>
    <xdr:ext cx="4057650" cy="233362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885825</xdr:colOff>
      <xdr:row>16</xdr:row>
      <xdr:rowOff>152400</xdr:rowOff>
    </xdr:from>
    <xdr:ext cx="1428750" cy="552450"/>
    <xdr:pic>
      <xdr:nvPicPr>
        <xdr:cNvPr id="765988954" name="Chart6"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390525</xdr:colOff>
      <xdr:row>18</xdr:row>
      <xdr:rowOff>180975</xdr:rowOff>
    </xdr:from>
    <xdr:ext cx="723900" cy="638175"/>
    <xdr:pic>
      <xdr:nvPicPr>
        <xdr:cNvPr id="1065305524" name="Chart7"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190500</xdr:colOff>
      <xdr:row>19</xdr:row>
      <xdr:rowOff>95250</xdr:rowOff>
    </xdr:from>
    <xdr:ext cx="723900" cy="638175"/>
    <xdr:pic>
      <xdr:nvPicPr>
        <xdr:cNvPr id="690015244" name="Chart8" title="Gráfico">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13</xdr:col>
      <xdr:colOff>409575</xdr:colOff>
      <xdr:row>20</xdr:row>
      <xdr:rowOff>133350</xdr:rowOff>
    </xdr:from>
    <xdr:ext cx="723900" cy="638175"/>
    <xdr:pic>
      <xdr:nvPicPr>
        <xdr:cNvPr id="637708406" name="Chart9" title="Gráfico">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876300</xdr:colOff>
      <xdr:row>26</xdr:row>
      <xdr:rowOff>47625</xdr:rowOff>
    </xdr:from>
    <xdr:ext cx="885825" cy="638175"/>
    <xdr:pic>
      <xdr:nvPicPr>
        <xdr:cNvPr id="2028555090" name="Chart10" title="Gráfico">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76200</xdr:colOff>
      <xdr:row>26</xdr:row>
      <xdr:rowOff>104775</xdr:rowOff>
    </xdr:from>
    <xdr:ext cx="723900" cy="552450"/>
    <xdr:pic>
      <xdr:nvPicPr>
        <xdr:cNvPr id="1828174573" name="Chart11" title="Gráfico">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409575</xdr:colOff>
      <xdr:row>27</xdr:row>
      <xdr:rowOff>161925</xdr:rowOff>
    </xdr:from>
    <xdr:ext cx="723900" cy="476250"/>
    <xdr:pic>
      <xdr:nvPicPr>
        <xdr:cNvPr id="1777334983" name="Chart12" title="Gráfico">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228600</xdr:colOff>
      <xdr:row>22</xdr:row>
      <xdr:rowOff>123825</xdr:rowOff>
    </xdr:from>
    <xdr:ext cx="885825" cy="638175"/>
    <xdr:pic>
      <xdr:nvPicPr>
        <xdr:cNvPr id="945059635" name="Chart13" title="Gráfico">
          <a:extLst>
            <a:ext uri="GoogleSheetsCustomDataVersion1">
              <go:sheetsCustomData xmlns:go="http://customooxmlschemas.google.com/" pictureOfChart="1"/>
            </a:ext>
          </a:extLst>
        </xdr:cNvPr>
        <xdr:cNvPicPr preferRelativeResize="0"/>
      </xdr:nvPicPr>
      <xdr:blipFill>
        <a:blip cstate="print" r:embed="rId13"/>
        <a:stretch>
          <a:fillRect/>
        </a:stretch>
      </xdr:blipFill>
      <xdr:spPr>
        <a:prstGeom prst="rect">
          <a:avLst/>
        </a:prstGeom>
        <a:noFill/>
      </xdr:spPr>
    </xdr:pic>
    <xdr:clientData fLocksWithSheet="0"/>
  </xdr:oneCellAnchor>
  <xdr:oneCellAnchor>
    <xdr:from>
      <xdr:col>13</xdr:col>
      <xdr:colOff>219075</xdr:colOff>
      <xdr:row>23</xdr:row>
      <xdr:rowOff>9525</xdr:rowOff>
    </xdr:from>
    <xdr:ext cx="723900" cy="600075"/>
    <xdr:pic>
      <xdr:nvPicPr>
        <xdr:cNvPr id="545301137" name="Chart14" title="Gráfico">
          <a:extLst>
            <a:ext uri="GoogleSheetsCustomDataVersion1">
              <go:sheetsCustomData xmlns:go="http://customooxmlschemas.google.com/" pictureOfChart="1"/>
            </a:ext>
          </a:extLst>
        </xdr:cNvPr>
        <xdr:cNvPicPr preferRelativeResize="0"/>
      </xdr:nvPicPr>
      <xdr:blipFill>
        <a:blip cstate="print" r:embed="rId14"/>
        <a:stretch>
          <a:fillRect/>
        </a:stretch>
      </xdr:blipFill>
      <xdr:spPr>
        <a:prstGeom prst="rect">
          <a:avLst/>
        </a:prstGeom>
        <a:noFill/>
      </xdr:spPr>
    </xdr:pic>
    <xdr:clientData fLocksWithSheet="0"/>
  </xdr:oneCellAnchor>
  <xdr:oneCellAnchor>
    <xdr:from>
      <xdr:col>13</xdr:col>
      <xdr:colOff>419100</xdr:colOff>
      <xdr:row>24</xdr:row>
      <xdr:rowOff>38100</xdr:rowOff>
    </xdr:from>
    <xdr:ext cx="723900" cy="600075"/>
    <xdr:pic>
      <xdr:nvPicPr>
        <xdr:cNvPr id="1571298753" name="Chart15" title="Gráfico">
          <a:extLst>
            <a:ext uri="GoogleSheetsCustomDataVersion1">
              <go:sheetsCustomData xmlns:go="http://customooxmlschemas.google.com/" pictureOfChart="1"/>
            </a:ext>
          </a:extLst>
        </xdr:cNvPr>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809625</xdr:colOff>
      <xdr:row>22</xdr:row>
      <xdr:rowOff>171450</xdr:rowOff>
    </xdr:from>
    <xdr:ext cx="1028700" cy="638175"/>
    <xdr:pic>
      <xdr:nvPicPr>
        <xdr:cNvPr id="242467403" name="Chart16" title="Gráfico">
          <a:extLst>
            <a:ext uri="GoogleSheetsCustomDataVersion1">
              <go:sheetsCustomData xmlns:go="http://customooxmlschemas.google.com/" pictureOfChart="1"/>
            </a:ext>
          </a:extLst>
        </xdr:cNvPr>
        <xdr:cNvPicPr preferRelativeResize="0"/>
      </xdr:nvPicPr>
      <xdr:blipFill>
        <a:blip cstate="print" r:embed="rId16"/>
        <a:stretch>
          <a:fillRect/>
        </a:stretch>
      </xdr:blipFill>
      <xdr:spPr>
        <a:prstGeom prst="rect">
          <a:avLst/>
        </a:prstGeom>
        <a:noFill/>
      </xdr:spPr>
    </xdr:pic>
    <xdr:clientData fLocksWithSheet="0"/>
  </xdr:oneCellAnchor>
  <xdr:oneCellAnchor>
    <xdr:from>
      <xdr:col>11</xdr:col>
      <xdr:colOff>95250</xdr:colOff>
      <xdr:row>23</xdr:row>
      <xdr:rowOff>9525</xdr:rowOff>
    </xdr:from>
    <xdr:ext cx="723900" cy="600075"/>
    <xdr:pic>
      <xdr:nvPicPr>
        <xdr:cNvPr id="679217768" name="Chart17" title="Gráfico">
          <a:extLst>
            <a:ext uri="GoogleSheetsCustomDataVersion1">
              <go:sheetsCustomData xmlns:go="http://customooxmlschemas.google.com/" pictureOfChart="1"/>
            </a:ext>
          </a:extLst>
        </xdr:cNvPr>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476250</xdr:colOff>
      <xdr:row>24</xdr:row>
      <xdr:rowOff>47625</xdr:rowOff>
    </xdr:from>
    <xdr:ext cx="628650" cy="476250"/>
    <xdr:pic>
      <xdr:nvPicPr>
        <xdr:cNvPr id="1382046523" name="Chart18" title="Gráfico">
          <a:extLst>
            <a:ext uri="GoogleSheetsCustomDataVersion1">
              <go:sheetsCustomData xmlns:go="http://customooxmlschemas.google.com/" pictureOfChart="1"/>
            </a:ext>
          </a:extLst>
        </xdr:cNvPr>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247650</xdr:colOff>
      <xdr:row>26</xdr:row>
      <xdr:rowOff>38100</xdr:rowOff>
    </xdr:from>
    <xdr:ext cx="885825" cy="638175"/>
    <xdr:pic>
      <xdr:nvPicPr>
        <xdr:cNvPr id="1741502978" name="Chart19" title="Gráfico">
          <a:extLst>
            <a:ext uri="GoogleSheetsCustomDataVersion1">
              <go:sheetsCustomData xmlns:go="http://customooxmlschemas.google.com/" pictureOfChart="1"/>
            </a:ext>
          </a:extLst>
        </xdr:cNvPr>
        <xdr:cNvPicPr preferRelativeResize="0"/>
      </xdr:nvPicPr>
      <xdr:blipFill>
        <a:blip cstate="print" r:embed="rId19"/>
        <a:stretch>
          <a:fillRect/>
        </a:stretch>
      </xdr:blipFill>
      <xdr:spPr>
        <a:prstGeom prst="rect">
          <a:avLst/>
        </a:prstGeom>
        <a:noFill/>
      </xdr:spPr>
    </xdr:pic>
    <xdr:clientData fLocksWithSheet="0"/>
  </xdr:oneCellAnchor>
  <xdr:oneCellAnchor>
    <xdr:from>
      <xdr:col>13</xdr:col>
      <xdr:colOff>276225</xdr:colOff>
      <xdr:row>26</xdr:row>
      <xdr:rowOff>85725</xdr:rowOff>
    </xdr:from>
    <xdr:ext cx="628650" cy="600075"/>
    <xdr:pic>
      <xdr:nvPicPr>
        <xdr:cNvPr id="2068221726" name="Chart20" title="Gráfico">
          <a:extLst>
            <a:ext uri="GoogleSheetsCustomDataVersion1">
              <go:sheetsCustomData xmlns:go="http://customooxmlschemas.google.com/" pictureOfChart="1"/>
            </a:ext>
          </a:extLst>
        </xdr:cNvPr>
        <xdr:cNvPicPr preferRelativeResize="0"/>
      </xdr:nvPicPr>
      <xdr:blipFill>
        <a:blip cstate="print" r:embed="rId20"/>
        <a:stretch>
          <a:fillRect/>
        </a:stretch>
      </xdr:blipFill>
      <xdr:spPr>
        <a:prstGeom prst="rect">
          <a:avLst/>
        </a:prstGeom>
        <a:noFill/>
      </xdr:spPr>
    </xdr:pic>
    <xdr:clientData fLocksWithSheet="0"/>
  </xdr:oneCellAnchor>
  <xdr:oneCellAnchor>
    <xdr:from>
      <xdr:col>13</xdr:col>
      <xdr:colOff>504825</xdr:colOff>
      <xdr:row>27</xdr:row>
      <xdr:rowOff>161925</xdr:rowOff>
    </xdr:from>
    <xdr:ext cx="533400" cy="476250"/>
    <xdr:pic>
      <xdr:nvPicPr>
        <xdr:cNvPr id="1770226614" name="Chart21" title="Gráfico">
          <a:extLst>
            <a:ext uri="GoogleSheetsCustomDataVersion1">
              <go:sheetsCustomData xmlns:go="http://customooxmlschemas.google.com/" pictureOfChart="1"/>
            </a:ext>
          </a:extLst>
        </xdr:cNvPr>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180975</xdr:colOff>
      <xdr:row>9</xdr:row>
      <xdr:rowOff>38100</xdr:rowOff>
    </xdr:from>
    <xdr:ext cx="762000" cy="476250"/>
    <xdr:pic>
      <xdr:nvPicPr>
        <xdr:cNvPr id="1943407781" name="Chart22" title="Gráfico">
          <a:extLst>
            <a:ext uri="GoogleSheetsCustomDataVersion1">
              <go:sheetsCustomData xmlns:go="http://customooxmlschemas.google.com/" pictureOfChart="1"/>
            </a:ext>
          </a:extLst>
        </xdr:cNvPr>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190500</xdr:colOff>
      <xdr:row>12</xdr:row>
      <xdr:rowOff>66675</xdr:rowOff>
    </xdr:from>
    <xdr:ext cx="762000" cy="476250"/>
    <xdr:pic>
      <xdr:nvPicPr>
        <xdr:cNvPr id="893487225" name="Chart23" title="Gráfico">
          <a:extLst>
            <a:ext uri="GoogleSheetsCustomDataVersion1">
              <go:sheetsCustomData xmlns:go="http://customooxmlschemas.google.com/" pictureOfChart="1"/>
            </a:ext>
          </a:extLst>
        </xdr:cNvPr>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257175</xdr:colOff>
      <xdr:row>7</xdr:row>
      <xdr:rowOff>152400</xdr:rowOff>
    </xdr:from>
    <xdr:ext cx="762000" cy="476250"/>
    <xdr:pic>
      <xdr:nvPicPr>
        <xdr:cNvPr id="2019736240" name="Chart24" title="Gráfico">
          <a:extLst>
            <a:ext uri="GoogleSheetsCustomDataVersion1">
              <go:sheetsCustomData xmlns:go="http://customooxmlschemas.google.com/" pictureOfChart="1"/>
            </a:ext>
          </a:extLst>
        </xdr:cNvPr>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371475</xdr:colOff>
      <xdr:row>5</xdr:row>
      <xdr:rowOff>9525</xdr:rowOff>
    </xdr:from>
    <xdr:ext cx="1276350" cy="476250"/>
    <xdr:pic>
      <xdr:nvPicPr>
        <xdr:cNvPr id="282546210" name="Chart25" title="Gráfico">
          <a:extLst>
            <a:ext uri="GoogleSheetsCustomDataVersion1">
              <go:sheetsCustomData xmlns:go="http://customooxmlschemas.google.com/" pictureOfChart="1"/>
            </a:ext>
          </a:extLst>
        </xdr:cNvPr>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704850</xdr:colOff>
      <xdr:row>0</xdr:row>
      <xdr:rowOff>200025</xdr:rowOff>
    </xdr:from>
    <xdr:ext cx="2857500" cy="2857500"/>
    <mc:AlternateContent>
      <mc:Choice Requires="sle15">
        <xdr:graphicFrame>
          <xdr:nvGraphicFramePr>
            <xdr:cNvPr id="1" name="Trimestre_1"/>
            <xdr:cNvGraphicFramePr/>
          </xdr:nvGraphicFramePr>
          <xdr:xfrm>
            <a:off x="0" y="0"/>
            <a:ext cx="0" cy="0"/>
          </xdr:xfrm>
          <a:graphic>
            <a:graphicData uri="http://schemas.microsoft.com/office/drawing/2010/slicer">
              <x3Unk:slicer name="Trimestr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561975</xdr:colOff>
      <xdr:row>1</xdr:row>
      <xdr:rowOff>28575</xdr:rowOff>
    </xdr:from>
    <xdr:ext cx="2857500" cy="2857500"/>
    <mc:AlternateContent>
      <mc:Choice Requires="sle15">
        <xdr:graphicFrame>
          <xdr:nvGraphicFramePr>
            <xdr:cNvPr id="2" name="Semestre_2"/>
            <xdr:cNvGraphicFramePr/>
          </xdr:nvGraphicFramePr>
          <xdr:xfrm>
            <a:off x="0" y="0"/>
            <a:ext cx="0" cy="0"/>
          </xdr:xfrm>
          <a:graphic>
            <a:graphicData uri="http://schemas.microsoft.com/office/drawing/2010/slicer">
              <x3Unk:slicer name="Semestr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152400</xdr:colOff>
      <xdr:row>0</xdr:row>
      <xdr:rowOff>152400</xdr:rowOff>
    </xdr:from>
    <xdr:ext cx="4505325" cy="476250"/>
    <xdr:grpSp>
      <xdr:nvGrpSpPr>
        <xdr:cNvPr id="2" name="Shape 2" title="Dibujo"/>
        <xdr:cNvGrpSpPr/>
      </xdr:nvGrpSpPr>
      <xdr:grpSpPr>
        <a:xfrm>
          <a:off x="1360225" y="161128"/>
          <a:ext cx="4486500" cy="458100"/>
          <a:chOff x="1360225" y="161128"/>
          <a:chExt cx="4486500" cy="458100"/>
        </a:xfrm>
      </xdr:grpSpPr>
      <xdr:sp>
        <xdr:nvSpPr>
          <xdr:cNvPr id="3" name="Shape 3"/>
          <xdr:cNvSpPr/>
        </xdr:nvSpPr>
        <xdr:spPr>
          <a:xfrm>
            <a:off x="1360225" y="161128"/>
            <a:ext cx="4486500" cy="458100"/>
          </a:xfrm>
          <a:prstGeom prst="roundRect">
            <a:avLst>
              <a:gd fmla="val 50000" name="adj"/>
            </a:avLst>
          </a:prstGeom>
          <a:gradFill>
            <a:gsLst>
              <a:gs pos="0">
                <a:srgbClr val="00E4F4"/>
              </a:gs>
              <a:gs pos="50000">
                <a:srgbClr val="00B2DF"/>
              </a:gs>
              <a:gs pos="100000">
                <a:srgbClr val="2175C3"/>
              </a:gs>
            </a:gsLst>
            <a:lin ang="10800025" scaled="0"/>
          </a:gradFill>
          <a:ln cap="flat" cmpd="sng" w="8725">
            <a:solidFill>
              <a:srgbClr val="FFFFFF"/>
            </a:solidFill>
            <a:prstDash val="solid"/>
            <a:round/>
            <a:headEnd len="sm" w="sm" type="none"/>
            <a:tailEnd len="sm" w="sm" type="none"/>
          </a:ln>
        </xdr:spPr>
        <xdr:txBody>
          <a:bodyPr anchorCtr="0" anchor="ctr" bIns="83650" lIns="83650" spcFirstLastPara="1" rIns="83650" wrap="square" tIns="83650">
            <a:noAutofit/>
          </a:bodyPr>
          <a:lstStyle/>
          <a:p>
            <a:pPr indent="0" lvl="0" marL="0" rtl="0" algn="ctr">
              <a:spcBef>
                <a:spcPts val="0"/>
              </a:spcBef>
              <a:spcAft>
                <a:spcPts val="0"/>
              </a:spcAft>
              <a:buNone/>
            </a:pPr>
            <a:r>
              <a:t/>
            </a:r>
            <a:endParaRPr sz="1281"/>
          </a:p>
        </xdr:txBody>
      </xdr:sp>
      <xdr:sp>
        <xdr:nvSpPr>
          <xdr:cNvPr id="4" name="Shape 4"/>
          <xdr:cNvSpPr txBox="1"/>
        </xdr:nvSpPr>
        <xdr:spPr>
          <a:xfrm>
            <a:off x="1443914" y="193075"/>
            <a:ext cx="4402800" cy="394200"/>
          </a:xfrm>
          <a:prstGeom prst="rect">
            <a:avLst/>
          </a:prstGeom>
          <a:noFill/>
          <a:ln>
            <a:noFill/>
          </a:ln>
        </xdr:spPr>
        <xdr:txBody>
          <a:bodyPr anchorCtr="0" anchor="t" bIns="83650" lIns="83650" spcFirstLastPara="1" rIns="83650" wrap="square" tIns="83650">
            <a:spAutoFit/>
          </a:bodyPr>
          <a:lstStyle/>
          <a:p>
            <a:pPr indent="0" lvl="0" marL="0" rtl="0" algn="l">
              <a:spcBef>
                <a:spcPts val="0"/>
              </a:spcBef>
              <a:spcAft>
                <a:spcPts val="0"/>
              </a:spcAft>
              <a:buNone/>
            </a:pPr>
            <a:r>
              <a:rPr b="1" lang="en-US" sz="1464">
                <a:solidFill>
                  <a:srgbClr val="FFFFFF"/>
                </a:solidFill>
                <a:latin typeface="Comfortaa"/>
                <a:ea typeface="Comfortaa"/>
                <a:cs typeface="Comfortaa"/>
                <a:sym typeface="Comfortaa"/>
              </a:rPr>
              <a:t>Dashboard de Finanzas Personales - 2023</a:t>
            </a:r>
            <a:endParaRPr b="1" sz="1464">
              <a:solidFill>
                <a:srgbClr val="FFFFFF"/>
              </a:solidFill>
              <a:latin typeface="Comfortaa"/>
              <a:ea typeface="Comfortaa"/>
              <a:cs typeface="Comfortaa"/>
              <a:sym typeface="Comfortaa"/>
            </a:endParaRPr>
          </a:p>
        </xdr:txBody>
      </xdr:sp>
    </xdr:grpSp>
    <xdr:clientData fLocksWithSheet="0"/>
  </xdr:oneCellAnchor>
  <xdr:oneCellAnchor>
    <xdr:from>
      <xdr:col>10</xdr:col>
      <xdr:colOff>200025</xdr:colOff>
      <xdr:row>18</xdr:row>
      <xdr:rowOff>85725</xdr:rowOff>
    </xdr:from>
    <xdr:ext cx="1438275" cy="762000"/>
    <xdr:sp>
      <xdr:nvSpPr>
        <xdr:cNvPr id="5" name="Shape 5"/>
        <xdr:cNvSpPr txBox="1"/>
      </xdr:nvSpPr>
      <xdr:spPr>
        <a:xfrm>
          <a:off x="1123625" y="865600"/>
          <a:ext cx="1421400" cy="7389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800">
              <a:solidFill>
                <a:srgbClr val="4A86E8"/>
              </a:solidFill>
            </a:rPr>
            <a:t>Principales</a:t>
          </a:r>
          <a:endParaRPr b="1" sz="1800">
            <a:solidFill>
              <a:srgbClr val="4A86E8"/>
            </a:solidFill>
          </a:endParaRPr>
        </a:p>
        <a:p>
          <a:pPr indent="0" lvl="0" marL="0" rtl="0" algn="l">
            <a:spcBef>
              <a:spcPts val="0"/>
            </a:spcBef>
            <a:spcAft>
              <a:spcPts val="0"/>
            </a:spcAft>
            <a:buNone/>
          </a:pPr>
          <a:r>
            <a:rPr b="1" lang="en-US" sz="1800">
              <a:solidFill>
                <a:srgbClr val="4A86E8"/>
              </a:solidFill>
            </a:rPr>
            <a:t>Gastos 💰 </a:t>
          </a:r>
          <a:endParaRPr b="1" sz="1800">
            <a:solidFill>
              <a:srgbClr val="4A86E8"/>
            </a:solidFill>
          </a:endParaRPr>
        </a:p>
      </xdr:txBody>
    </xdr:sp>
    <xdr:clientData fLocksWithSheet="0"/>
  </xdr:oneCellAnchor>
  <xdr:oneCellAnchor>
    <xdr:from>
      <xdr:col>0</xdr:col>
      <xdr:colOff>190500</xdr:colOff>
      <xdr:row>17</xdr:row>
      <xdr:rowOff>133350</xdr:rowOff>
    </xdr:from>
    <xdr:ext cx="4391025" cy="2495550"/>
    <xdr:pic>
      <xdr:nvPicPr>
        <xdr:cNvPr id="0" name="image6.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9</xdr:col>
      <xdr:colOff>647700</xdr:colOff>
      <xdr:row>4</xdr:row>
      <xdr:rowOff>57150</xdr:rowOff>
    </xdr:from>
    <xdr:ext cx="4391025" cy="2495550"/>
    <xdr:pic>
      <xdr:nvPicPr>
        <xdr:cNvPr id="0" name="image6.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895350</xdr:colOff>
      <xdr:row>17</xdr:row>
      <xdr:rowOff>133350</xdr:rowOff>
    </xdr:from>
    <xdr:ext cx="4391025" cy="2495550"/>
    <xdr:pic>
      <xdr:nvPicPr>
        <xdr:cNvPr id="0" name="image6.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9</xdr:col>
      <xdr:colOff>647700</xdr:colOff>
      <xdr:row>17</xdr:row>
      <xdr:rowOff>142875</xdr:rowOff>
    </xdr:from>
    <xdr:ext cx="4391025" cy="2495550"/>
    <xdr:pic>
      <xdr:nvPicPr>
        <xdr:cNvPr id="0" name="image6.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876300</xdr:colOff>
      <xdr:row>3</xdr:row>
      <xdr:rowOff>209550</xdr:rowOff>
    </xdr:from>
    <xdr:ext cx="4391025" cy="2495550"/>
    <xdr:pic>
      <xdr:nvPicPr>
        <xdr:cNvPr id="0" name="image6.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12</xdr:col>
      <xdr:colOff>180975</xdr:colOff>
      <xdr:row>18</xdr:row>
      <xdr:rowOff>200025</xdr:rowOff>
    </xdr:from>
    <xdr:ext cx="1828800" cy="600075"/>
    <xdr:pic>
      <xdr:nvPicPr>
        <xdr:cNvPr id="0" name="image5.png" title="Imagen"/>
        <xdr:cNvPicPr preferRelativeResize="0"/>
      </xdr:nvPicPr>
      <xdr:blipFill>
        <a:blip cstate="print" r:embed="rId27"/>
        <a:stretch>
          <a:fillRect/>
        </a:stretch>
      </xdr:blipFill>
      <xdr:spPr>
        <a:prstGeom prst="rect">
          <a:avLst/>
        </a:prstGeom>
        <a:noFill/>
      </xdr:spPr>
    </xdr:pic>
    <xdr:clientData fLocksWithSheet="0"/>
  </xdr:oneCellAnchor>
  <xdr:oneCellAnchor>
    <xdr:from>
      <xdr:col>12</xdr:col>
      <xdr:colOff>190500</xdr:colOff>
      <xdr:row>22</xdr:row>
      <xdr:rowOff>133350</xdr:rowOff>
    </xdr:from>
    <xdr:ext cx="1771650" cy="600075"/>
    <xdr:pic>
      <xdr:nvPicPr>
        <xdr:cNvPr id="0" name="image2.png" title="Imagen"/>
        <xdr:cNvPicPr preferRelativeResize="0"/>
      </xdr:nvPicPr>
      <xdr:blipFill>
        <a:blip cstate="print" r:embed="rId28"/>
        <a:stretch>
          <a:fillRect/>
        </a:stretch>
      </xdr:blipFill>
      <xdr:spPr>
        <a:prstGeom prst="rect">
          <a:avLst/>
        </a:prstGeom>
        <a:noFill/>
      </xdr:spPr>
    </xdr:pic>
    <xdr:clientData fLocksWithSheet="0"/>
  </xdr:oneCellAnchor>
  <xdr:oneCellAnchor>
    <xdr:from>
      <xdr:col>12</xdr:col>
      <xdr:colOff>209550</xdr:colOff>
      <xdr:row>26</xdr:row>
      <xdr:rowOff>66675</xdr:rowOff>
    </xdr:from>
    <xdr:ext cx="1771650" cy="600075"/>
    <xdr:pic>
      <xdr:nvPicPr>
        <xdr:cNvPr id="0" name="image1.png" title="Imagen"/>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781050</xdr:colOff>
      <xdr:row>22</xdr:row>
      <xdr:rowOff>133350</xdr:rowOff>
    </xdr:from>
    <xdr:ext cx="2171700" cy="600075"/>
    <xdr:pic>
      <xdr:nvPicPr>
        <xdr:cNvPr id="0" name="image12.png" title="Imagen"/>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781050</xdr:colOff>
      <xdr:row>26</xdr:row>
      <xdr:rowOff>66675</xdr:rowOff>
    </xdr:from>
    <xdr:ext cx="2171700" cy="590550"/>
    <xdr:pic>
      <xdr:nvPicPr>
        <xdr:cNvPr id="0" name="image4.png" title="Imagen"/>
        <xdr:cNvPicPr preferRelativeResize="0"/>
      </xdr:nvPicPr>
      <xdr:blipFill>
        <a:blip cstate="print" r:embed="rId31"/>
        <a:stretch>
          <a:fillRect/>
        </a:stretch>
      </xdr:blipFill>
      <xdr:spPr>
        <a:prstGeom prst="rect">
          <a:avLst/>
        </a:prstGeom>
        <a:noFill/>
      </xdr:spPr>
    </xdr:pic>
    <xdr:clientData fLocksWithSheet="0"/>
  </xdr:oneCellAnchor>
  <xdr:oneCellAnchor>
    <xdr:from>
      <xdr:col>12</xdr:col>
      <xdr:colOff>533400</xdr:colOff>
      <xdr:row>20</xdr:row>
      <xdr:rowOff>38100</xdr:rowOff>
    </xdr:from>
    <xdr:ext cx="276225" cy="295275"/>
    <xdr:pic>
      <xdr:nvPicPr>
        <xdr:cNvPr id="0" name="image7.png" title="Imagen"/>
        <xdr:cNvPicPr preferRelativeResize="0"/>
      </xdr:nvPicPr>
      <xdr:blipFill>
        <a:blip cstate="print" r:embed="rId32"/>
        <a:stretch>
          <a:fillRect/>
        </a:stretch>
      </xdr:blipFill>
      <xdr:spPr>
        <a:prstGeom prst="rect">
          <a:avLst/>
        </a:prstGeom>
        <a:noFill/>
      </xdr:spPr>
    </xdr:pic>
    <xdr:clientData fLocksWithSheet="0"/>
  </xdr:oneCellAnchor>
  <xdr:oneCellAnchor>
    <xdr:from>
      <xdr:col>10</xdr:col>
      <xdr:colOff>190500</xdr:colOff>
      <xdr:row>27</xdr:row>
      <xdr:rowOff>76200</xdr:rowOff>
    </xdr:from>
    <xdr:ext cx="276225" cy="295275"/>
    <xdr:pic>
      <xdr:nvPicPr>
        <xdr:cNvPr id="0" name="image11.png" title="Imagen"/>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190500</xdr:colOff>
      <xdr:row>23</xdr:row>
      <xdr:rowOff>171450</xdr:rowOff>
    </xdr:from>
    <xdr:ext cx="276225" cy="361950"/>
    <xdr:pic>
      <xdr:nvPicPr>
        <xdr:cNvPr id="0" name="image13.png" title="Imagen"/>
        <xdr:cNvPicPr preferRelativeResize="0"/>
      </xdr:nvPicPr>
      <xdr:blipFill>
        <a:blip cstate="print" r:embed="rId34"/>
        <a:stretch>
          <a:fillRect/>
        </a:stretch>
      </xdr:blipFill>
      <xdr:spPr>
        <a:prstGeom prst="rect">
          <a:avLst/>
        </a:prstGeom>
        <a:noFill/>
      </xdr:spPr>
    </xdr:pic>
    <xdr:clientData fLocksWithSheet="0"/>
  </xdr:oneCellAnchor>
  <xdr:oneCellAnchor>
    <xdr:from>
      <xdr:col>12</xdr:col>
      <xdr:colOff>428625</xdr:colOff>
      <xdr:row>23</xdr:row>
      <xdr:rowOff>171450</xdr:rowOff>
    </xdr:from>
    <xdr:ext cx="381000" cy="361950"/>
    <xdr:pic>
      <xdr:nvPicPr>
        <xdr:cNvPr id="0" name="image3.png" title="Imagen"/>
        <xdr:cNvPicPr preferRelativeResize="0"/>
      </xdr:nvPicPr>
      <xdr:blipFill>
        <a:blip cstate="print" r:embed="rId35"/>
        <a:stretch>
          <a:fillRect/>
        </a:stretch>
      </xdr:blipFill>
      <xdr:spPr>
        <a:prstGeom prst="rect">
          <a:avLst/>
        </a:prstGeom>
        <a:noFill/>
      </xdr:spPr>
    </xdr:pic>
    <xdr:clientData fLocksWithSheet="0"/>
  </xdr:oneCellAnchor>
  <xdr:oneCellAnchor>
    <xdr:from>
      <xdr:col>12</xdr:col>
      <xdr:colOff>409575</xdr:colOff>
      <xdr:row>27</xdr:row>
      <xdr:rowOff>38100</xdr:rowOff>
    </xdr:from>
    <xdr:ext cx="381000" cy="361950"/>
    <xdr:pic>
      <xdr:nvPicPr>
        <xdr:cNvPr id="0" name="image8.png" title="Imagen"/>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266700</xdr:colOff>
      <xdr:row>4</xdr:row>
      <xdr:rowOff>76200</xdr:rowOff>
    </xdr:from>
    <xdr:ext cx="2352675" cy="2352675"/>
    <xdr:pic>
      <xdr:nvPicPr>
        <xdr:cNvPr id="0" name="image6.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28575</xdr:colOff>
      <xdr:row>7</xdr:row>
      <xdr:rowOff>47625</xdr:rowOff>
    </xdr:from>
    <xdr:ext cx="2028825" cy="1143000"/>
    <xdr:pic>
      <xdr:nvPicPr>
        <xdr:cNvPr id="0" name="image14.png" title="Imagen"/>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762000</xdr:colOff>
      <xdr:row>5</xdr:row>
      <xdr:rowOff>38100</xdr:rowOff>
    </xdr:from>
    <xdr:ext cx="381000" cy="409575"/>
    <xdr:pic>
      <xdr:nvPicPr>
        <xdr:cNvPr id="0" name="image10.png" title="Imagen"/>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476250</xdr:colOff>
      <xdr:row>9</xdr:row>
      <xdr:rowOff>95250</xdr:rowOff>
    </xdr:from>
    <xdr:ext cx="381000" cy="361950"/>
    <xdr:pic>
      <xdr:nvPicPr>
        <xdr:cNvPr id="0" name="image15.png" title="Imagen"/>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485775</xdr:colOff>
      <xdr:row>12</xdr:row>
      <xdr:rowOff>123825</xdr:rowOff>
    </xdr:from>
    <xdr:ext cx="381000" cy="361950"/>
    <xdr:pic>
      <xdr:nvPicPr>
        <xdr:cNvPr id="0" name="image9.png" title="Imagen"/>
        <xdr:cNvPicPr preferRelativeResize="0"/>
      </xdr:nvPicPr>
      <xdr:blipFill>
        <a:blip cstate="print" r:embed="rId40"/>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685800</xdr:colOff>
      <xdr:row>4</xdr:row>
      <xdr:rowOff>200025</xdr:rowOff>
    </xdr:from>
    <xdr:ext cx="2857500" cy="160020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142875</xdr:colOff>
      <xdr:row>2</xdr:row>
      <xdr:rowOff>57150</xdr:rowOff>
    </xdr:from>
    <xdr:ext cx="1600200" cy="60007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142875</xdr:colOff>
      <xdr:row>5</xdr:row>
      <xdr:rowOff>200025</xdr:rowOff>
    </xdr:from>
    <xdr:ext cx="1600200" cy="6000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142875</xdr:colOff>
      <xdr:row>9</xdr:row>
      <xdr:rowOff>161925</xdr:rowOff>
    </xdr:from>
    <xdr:ext cx="1562100" cy="600075"/>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114300</xdr:colOff>
      <xdr:row>13</xdr:row>
      <xdr:rowOff>114300</xdr:rowOff>
    </xdr:from>
    <xdr:ext cx="1600200" cy="600075"/>
    <xdr:pic>
      <xdr:nvPicPr>
        <xdr:cNvPr id="0" name="image12.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114300</xdr:colOff>
      <xdr:row>17</xdr:row>
      <xdr:rowOff>76200</xdr:rowOff>
    </xdr:from>
    <xdr:ext cx="1600200" cy="590550"/>
    <xdr:pic>
      <xdr:nvPicPr>
        <xdr:cNvPr id="0" name="image4.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695325</xdr:colOff>
      <xdr:row>4</xdr:row>
      <xdr:rowOff>123825</xdr:rowOff>
    </xdr:from>
    <xdr:ext cx="2571750" cy="1457325"/>
    <xdr:pic>
      <xdr:nvPicPr>
        <xdr:cNvPr id="0" name="image14.png" title="Imagen"/>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563" sheet="Ingresos y Gastos"/>
  </cacheSource>
  <cacheFields>
    <cacheField name="Fecha" numFmtId="164">
      <sharedItems containsSemiMixedTypes="0" containsNonDate="0" containsDate="1" containsString="0" minDate="2023-01-01T00:00:00Z" maxDate="2024-01-01T00:00:00Z">
        <d v="2023-01-01T00:00:00Z"/>
        <d v="2023-01-03T00:00:00Z"/>
        <d v="2023-01-04T00:00:00Z"/>
        <d v="2023-01-05T00:00:00Z"/>
        <d v="2023-01-07T00:00:00Z"/>
        <d v="2023-01-08T00:00:00Z"/>
        <d v="2023-01-09T00:00:00Z"/>
        <d v="2023-01-10T00:00:00Z"/>
        <d v="2023-01-11T00:00:00Z"/>
        <d v="2023-01-13T00:00:00Z"/>
        <d v="2023-01-14T00:00:00Z"/>
        <d v="2023-01-15T00:00:00Z"/>
        <d v="2023-01-16T00:00:00Z"/>
        <d v="2023-01-17T00:00:00Z"/>
        <d v="2023-01-18T00:00:00Z"/>
        <d v="2023-01-19T00:00:00Z"/>
        <d v="2023-01-20T00:00:00Z"/>
        <d v="2023-01-21T00:00:00Z"/>
        <d v="2023-01-22T00:00:00Z"/>
        <d v="2023-01-23T00:00:00Z"/>
        <d v="2023-01-24T00:00:00Z"/>
        <d v="2023-01-26T00:00:00Z"/>
        <d v="2023-01-27T00:00:00Z"/>
        <d v="2023-01-28T00:00:00Z"/>
        <d v="2023-01-29T00:00:00Z"/>
        <d v="2023-01-30T00:00:00Z"/>
        <d v="2023-01-31T00:00:00Z"/>
        <d v="2023-02-01T00:00:00Z"/>
        <d v="2023-02-03T00:00:00Z"/>
        <d v="2023-02-05T00:00:00Z"/>
        <d v="2023-02-06T00:00:00Z"/>
        <d v="2023-02-08T00:00:00Z"/>
        <d v="2023-02-09T00:00:00Z"/>
        <d v="2023-02-10T00:00:00Z"/>
        <d v="2023-02-11T00:00:00Z"/>
        <d v="2023-02-12T00:00:00Z"/>
        <d v="2023-02-13T00:00:00Z"/>
        <d v="2023-02-14T00:00:00Z"/>
        <d v="2023-02-15T00:00:00Z"/>
        <d v="2023-02-16T00:00:00Z"/>
        <d v="2023-02-17T00:00:00Z"/>
        <d v="2023-02-20T00:00:00Z"/>
        <d v="2023-02-21T00:00:00Z"/>
        <d v="2023-02-24T00:00:00Z"/>
        <d v="2023-02-25T00:00:00Z"/>
        <d v="2023-02-26T00:00:00Z"/>
        <d v="2023-02-28T00:00:00Z"/>
        <d v="2023-03-02T00:00:00Z"/>
        <d v="2023-03-03T00:00:00Z"/>
        <d v="2023-03-04T00:00:00Z"/>
        <d v="2023-03-05T00:00:00Z"/>
        <d v="2023-03-06T00:00:00Z"/>
        <d v="2023-03-08T00:00:00Z"/>
        <d v="2023-03-10T00:00:00Z"/>
        <d v="2023-03-11T00:00:00Z"/>
        <d v="2023-03-12T00:00:00Z"/>
        <d v="2023-03-13T00:00:00Z"/>
        <d v="2023-03-14T00:00:00Z"/>
        <d v="2023-03-16T00:00:00Z"/>
        <d v="2023-03-17T00:00:00Z"/>
        <d v="2023-03-18T00:00:00Z"/>
        <d v="2023-03-19T00:00:00Z"/>
        <d v="2023-03-20T00:00:00Z"/>
        <d v="2023-03-21T00:00:00Z"/>
        <d v="2023-03-22T00:00:00Z"/>
        <d v="2023-03-23T00:00:00Z"/>
        <d v="2023-03-24T00:00:00Z"/>
        <d v="2023-03-26T00:00:00Z"/>
        <d v="2023-03-31T00:00:00Z"/>
        <d v="2023-04-01T00:00:00Z"/>
        <d v="2023-04-02T00:00:00Z"/>
        <d v="2023-04-03T00:00:00Z"/>
        <d v="2023-04-04T00:00:00Z"/>
        <d v="2023-04-05T00:00:00Z"/>
        <d v="2023-04-06T00:00:00Z"/>
        <d v="2023-04-07T00:00:00Z"/>
        <d v="2023-04-08T00:00:00Z"/>
        <d v="2023-04-10T00:00:00Z"/>
        <d v="2023-04-11T00:00:00Z"/>
        <d v="2023-04-12T00:00:00Z"/>
        <d v="2023-04-13T00:00:00Z"/>
        <d v="2023-04-15T00:00:00Z"/>
        <d v="2023-04-16T00:00:00Z"/>
        <d v="2023-04-17T00:00:00Z"/>
        <d v="2023-04-18T00:00:00Z"/>
        <d v="2023-04-19T00:00:00Z"/>
        <d v="2023-04-20T00:00:00Z"/>
        <d v="2023-04-21T00:00:00Z"/>
        <d v="2023-04-22T00:00:00Z"/>
        <d v="2023-04-24T00:00:00Z"/>
        <d v="2023-04-26T00:00:00Z"/>
        <d v="2023-04-27T00:00:00Z"/>
        <d v="2023-04-28T00:00:00Z"/>
        <d v="2023-04-29T00:00:00Z"/>
        <d v="2023-04-30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2T00:00:00Z"/>
        <d v="2023-05-23T00:00:00Z"/>
        <d v="2023-05-24T00:00:00Z"/>
        <d v="2023-05-25T00:00:00Z"/>
        <d v="2023-05-26T00:00:00Z"/>
        <d v="2023-05-27T00:00:00Z"/>
        <d v="2023-05-29T00:00:00Z"/>
        <d v="2023-05-30T00:00:00Z"/>
        <d v="2023-05-31T00:00:00Z"/>
        <d v="2023-06-01T00:00:00Z"/>
        <d v="2023-06-02T00:00:00Z"/>
        <d v="2023-06-03T00:00:00Z"/>
        <d v="2023-06-04T00:00:00Z"/>
        <d v="2023-06-05T00:00:00Z"/>
        <d v="2023-06-08T00:00:00Z"/>
        <d v="2023-06-09T00:00:00Z"/>
        <d v="2023-06-10T00:00:00Z"/>
        <d v="2023-06-11T00:00:00Z"/>
        <d v="2023-06-12T00:00:00Z"/>
        <d v="2023-06-13T00:00:00Z"/>
        <d v="2023-06-14T00:00:00Z"/>
        <d v="2023-06-15T00:00:00Z"/>
        <d v="2023-06-16T00:00:00Z"/>
        <d v="2023-06-18T00:00:00Z"/>
        <d v="2023-06-19T00:00:00Z"/>
        <d v="2023-06-21T00:00:00Z"/>
        <d v="2023-06-22T00:00:00Z"/>
        <d v="2023-06-23T00:00:00Z"/>
        <d v="2023-06-24T00:00:00Z"/>
        <d v="2023-06-26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1T00:00:00Z"/>
        <d v="2023-07-24T00:00:00Z"/>
        <d v="2023-07-25T00:00:00Z"/>
        <d v="2023-07-27T00:00:00Z"/>
        <d v="2023-07-28T00:00:00Z"/>
        <d v="2023-07-29T00:00:00Z"/>
        <d v="2023-07-30T00:00:00Z"/>
        <d v="2023-08-01T00:00:00Z"/>
        <d v="2023-08-02T00:00:00Z"/>
        <d v="2023-08-04T00:00:00Z"/>
        <d v="2023-08-05T00:00:00Z"/>
        <d v="2023-08-06T00:00:00Z"/>
        <d v="2023-08-07T00:00:00Z"/>
        <d v="2023-08-08T00:00:00Z"/>
        <d v="2023-08-09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6T00:00:00Z"/>
        <d v="2023-08-28T00:00:00Z"/>
        <d v="2023-08-29T00:00:00Z"/>
        <d v="2023-08-30T00:00:00Z"/>
        <d v="2023-08-31T00:00:00Z"/>
        <d v="2023-09-02T00:00:00Z"/>
        <d v="2023-09-05T00:00:00Z"/>
        <d v="2023-09-06T00:00:00Z"/>
        <d v="2023-09-07T00:00:00Z"/>
        <d v="2023-09-08T00:00:00Z"/>
        <d v="2023-09-09T00:00:00Z"/>
        <d v="2023-09-10T00:00:00Z"/>
        <d v="2023-09-11T00:00:00Z"/>
        <d v="2023-09-12T00:00:00Z"/>
        <d v="2023-09-13T00:00:00Z"/>
        <d v="2023-09-14T00:00:00Z"/>
        <d v="2023-09-16T00:00:00Z"/>
        <d v="2023-09-17T00:00:00Z"/>
        <d v="2023-09-18T00:00:00Z"/>
        <d v="2023-09-19T00:00:00Z"/>
        <d v="2023-09-20T00:00:00Z"/>
        <d v="2023-09-22T00:00:00Z"/>
        <d v="2023-09-23T00:00:00Z"/>
        <d v="2023-09-25T00:00:00Z"/>
        <d v="2023-09-28T00:00:00Z"/>
        <d v="2023-09-29T00:00:00Z"/>
        <d v="2023-10-01T00:00:00Z"/>
        <d v="2023-10-02T00:00:00Z"/>
        <d v="2023-10-03T00:00:00Z"/>
        <d v="2023-10-04T00:00:00Z"/>
        <d v="2023-10-05T00:00:00Z"/>
        <d v="2023-10-07T00:00:00Z"/>
        <d v="2023-10-08T00:00:00Z"/>
        <d v="2023-10-09T00:00:00Z"/>
        <d v="2023-10-12T00:00:00Z"/>
        <d v="2023-10-13T00:00:00Z"/>
        <d v="2023-10-14T00:00:00Z"/>
        <d v="2023-10-15T00:00:00Z"/>
        <d v="2023-10-16T00:00:00Z"/>
        <d v="2023-10-17T00:00:00Z"/>
        <d v="2023-10-18T00:00:00Z"/>
        <d v="2023-10-19T00:00:00Z"/>
        <d v="2023-10-21T00:00:00Z"/>
        <d v="2023-10-22T00:00:00Z"/>
        <d v="2023-10-23T00:00:00Z"/>
        <d v="2023-10-24T00:00:00Z"/>
        <d v="2023-10-25T00:00:00Z"/>
        <d v="2023-10-28T00:00:00Z"/>
        <d v="2023-10-29T00:00:00Z"/>
        <d v="2023-10-30T00:00:00Z"/>
        <d v="2023-10-31T00:00:00Z"/>
        <d v="2023-11-01T00:00:00Z"/>
        <d v="2023-11-02T00:00:00Z"/>
        <d v="2023-11-05T00:00:00Z"/>
        <d v="2023-11-06T00:00:00Z"/>
        <d v="2023-11-07T00:00:00Z"/>
        <d v="2023-11-08T00:00:00Z"/>
        <d v="2023-11-09T00:00:00Z"/>
        <d v="2023-11-10T00:00:00Z"/>
        <d v="2023-11-13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7T00:00:00Z"/>
        <d v="2023-12-09T00:00:00Z"/>
        <d v="2023-12-10T00:00:00Z"/>
        <d v="2023-12-11T00:00:00Z"/>
        <d v="2023-12-13T00:00:00Z"/>
        <d v="2023-12-14T00:00:00Z"/>
        <d v="2023-12-16T00:00:00Z"/>
        <d v="2023-12-17T00:00:00Z"/>
        <d v="2023-12-18T00:00:00Z"/>
        <d v="2023-12-19T00:00:00Z"/>
        <d v="2023-12-20T00:00:00Z"/>
        <d v="2023-12-21T00:00:00Z"/>
        <d v="2023-12-22T00:00:00Z"/>
        <d v="2023-12-23T00:00:00Z"/>
        <d v="2023-12-24T00:00:00Z"/>
        <d v="2023-12-25T00:00:00Z"/>
        <d v="2023-12-26T00:00:00Z"/>
        <d v="2023-12-28T00:00:00Z"/>
        <d v="2023-12-29T00:00:00Z"/>
        <d v="2023-12-30T00:00:00Z"/>
        <d v="2023-12-31T00:00:00Z"/>
      </sharedItems>
      <fieldGroup base="0">
        <rangePr autoStart="0" autoEnd="0" groupBy="months" startDate="2023-01-01T00:00:00Z" endDate="2024-01-01T00:00:00Z"/>
        <groupItems>
          <s v="&lt;01/01/23"/>
          <s v="Jan"/>
          <s v="Feb"/>
          <s v="Mar"/>
          <s v="Apr"/>
          <s v="May"/>
          <s v="Jun"/>
          <s v="Jul"/>
          <s v="Aug"/>
          <s v="Sep"/>
          <s v="Oct"/>
          <s v="Nov"/>
          <s v="Dec"/>
          <s v="&gt;01/01/24"/>
        </groupItems>
      </fieldGroup>
    </cacheField>
    <cacheField name="Trimestre" numFmtId="0">
      <sharedItems>
        <s v="T1"/>
        <s v="T2"/>
        <s v="T3"/>
        <s v="T4"/>
      </sharedItems>
    </cacheField>
    <cacheField name="Semestre" numFmtId="0">
      <sharedItems>
        <s v="Sem 1"/>
        <s v="Sem 2"/>
      </sharedItems>
    </cacheField>
    <cacheField name="Tipo" numFmtId="0">
      <sharedItems>
        <s v="Gastos"/>
        <s v="Ingresos"/>
      </sharedItems>
    </cacheField>
    <cacheField name="Categoría" numFmtId="0">
      <sharedItems>
        <s v="Hogar"/>
        <s v="Personal"/>
        <s v="Transporte"/>
        <s v="Entretenimiento"/>
        <s v="Mascotas"/>
        <s v="Ingreso Principal"/>
        <s v="Ingreso Extra"/>
      </sharedItems>
    </cacheField>
    <cacheField name="Sub-categoría" numFmtId="0">
      <sharedItems>
        <s v="Comida"/>
        <s v="Educación"/>
        <s v="Ropa"/>
        <s v="Mantenimiento"/>
        <s v="Viaje"/>
        <s v="Peaje"/>
        <s v="Estacionamiento"/>
        <s v="Comida de Mascota"/>
        <s v="Salario"/>
        <s v="Negocio"/>
        <s v="Electricidad"/>
        <s v="Renta"/>
        <s v="Internert+Cable"/>
        <s v="Agua"/>
        <s v="Gas"/>
        <s v="Seguro vehicular"/>
        <s v="Suscripción de streaming"/>
        <s v="Medicina-Masc"/>
      </sharedItems>
    </cacheField>
    <cacheField name="Monto" numFmtId="165">
      <sharedItems containsSemiMixedTypes="0" containsString="0" containsNumber="1" containsInteger="1">
        <n v="88.0"/>
        <n v="152.0"/>
        <n v="171.0"/>
        <n v="99.0"/>
        <n v="67.0"/>
        <n v="20.0"/>
        <n v="26.0"/>
        <n v="31.0"/>
        <n v="52.0"/>
        <n v="37.0"/>
        <n v="125.0"/>
        <n v="75.0"/>
        <n v="100.0"/>
        <n v="49.0"/>
        <n v="30.0"/>
        <n v="102.0"/>
        <n v="111.0"/>
        <n v="40.0"/>
        <n v="95.0"/>
        <n v="110.0"/>
        <n v="143.0"/>
        <n v="163.0"/>
        <n v="178.0"/>
        <n v="25.0"/>
        <n v="106.0"/>
        <n v="225.0"/>
        <n v="196.0"/>
        <n v="91.0"/>
        <n v="72.0"/>
        <n v="120.0"/>
        <n v="156.0"/>
        <n v="24.0"/>
        <n v="195.0"/>
        <n v="138.0"/>
        <n v="139.0"/>
        <n v="3000.0"/>
        <n v="1500.0"/>
        <n v="174.0"/>
        <n v="150.0"/>
        <n v="80.0"/>
        <n v="149.0"/>
        <n v="60.0"/>
        <n v="50.0"/>
        <n v="198.0"/>
        <n v="13.0"/>
        <n v="160.0"/>
        <n v="63.0"/>
        <n v="541.0"/>
        <n v="97.0"/>
        <n v="28.0"/>
        <n v="146.0"/>
        <n v="126.0"/>
        <n v="189.0"/>
        <n v="191.0"/>
        <n v="151.0"/>
        <n v="114.0"/>
        <n v="96.0"/>
        <n v="56.0"/>
        <n v="21.0"/>
        <n v="117.0"/>
        <n v="220.0"/>
        <n v="136.0"/>
        <n v="137.0"/>
        <n v="74.0"/>
        <n v="34.0"/>
        <n v="15.0"/>
        <n v="2000.0"/>
        <n v="115.0"/>
        <n v="130.0"/>
        <n v="93.0"/>
        <n v="127.0"/>
        <n v="39.0"/>
        <n v="42.0"/>
        <n v="45.0"/>
        <n v="122.0"/>
        <n v="199.0"/>
        <n v="84.0"/>
        <n v="59.0"/>
        <n v="18.0"/>
        <n v="237.0"/>
        <n v="185.0"/>
        <n v="158.0"/>
        <n v="2500.0"/>
        <n v="182.0"/>
        <n v="300.0"/>
        <n v="285.0"/>
        <n v="580.0"/>
        <n v="32.0"/>
        <n v="76.0"/>
        <n v="166.0"/>
        <n v="121.0"/>
        <n v="33.0"/>
        <n v="98.0"/>
        <n v="22.0"/>
        <n v="236.0"/>
        <n v="141.0"/>
        <n v="179.0"/>
        <n v="246.0"/>
        <n v="103.0"/>
        <n v="123.0"/>
        <n v="148.0"/>
        <n v="131.0"/>
        <n v="135.0"/>
        <n v="172.0"/>
        <n v="129.0"/>
        <n v="107.0"/>
        <n v="27.0"/>
        <n v="217.0"/>
        <n v="112.0"/>
        <n v="86.0"/>
        <n v="255.0"/>
        <n v="64.0"/>
        <n v="104.0"/>
        <n v="193.0"/>
        <n v="10.0"/>
        <n v="167.0"/>
        <n v="574.0"/>
        <n v="168.0"/>
        <n v="180.0"/>
        <n v="183.0"/>
        <n v="2700.0"/>
        <n v="164.0"/>
        <n v="124.0"/>
        <n v="51.0"/>
        <n v="36.0"/>
        <n v="48.0"/>
        <n v="78.0"/>
        <n v="154.0"/>
        <n v="159.0"/>
        <n v="155.0"/>
        <n v="44.0"/>
        <n v="101.0"/>
        <n v="165.0"/>
        <n v="587.0"/>
        <n v="161.0"/>
        <n v="23.0"/>
        <n v="81.0"/>
        <n v="128.0"/>
        <n v="77.0"/>
        <n v="83.0"/>
        <n v="118.0"/>
        <n v="190.0"/>
        <n v="197.0"/>
        <n v="501.0"/>
        <n v="70.0"/>
        <n v="89.0"/>
        <n v="525.0"/>
        <n v="169.0"/>
        <n v="38.0"/>
        <n v="145.0"/>
        <n v="29.0"/>
        <n v="58.0"/>
        <n v="260.0"/>
        <n v="3200.0"/>
        <n v="92.0"/>
        <n v="61.0"/>
        <n v="17.0"/>
        <n v="35.0"/>
        <n v="162.0"/>
        <n v="116.0"/>
        <n v="524.0"/>
        <n v="87.0"/>
        <n v="66.0"/>
        <n v="153.0"/>
        <n v="43.0"/>
        <n v="572.0"/>
        <n v="134.0"/>
        <n v="157.0"/>
        <n v="65.0"/>
        <n v="119.0"/>
        <n v="12.0"/>
        <n v="194.0"/>
        <n v="200.0"/>
        <n v="173.0"/>
        <n v="54.0"/>
        <n v="53.0"/>
        <n v="113.0"/>
        <n v="533.0"/>
        <n v="140.0"/>
        <n v="105.0"/>
        <n v="555.0"/>
        <n v="16.0"/>
        <n v="68.0"/>
        <n v="576.0"/>
        <n v="192.0"/>
        <n v="46.0"/>
        <n v="14.0"/>
        <n v="170.0"/>
        <n v="57.0"/>
        <n v="579.0"/>
        <n v="176.0"/>
        <n v="1900.0"/>
        <n v="94.0"/>
        <n v="142.0"/>
        <n v="47.0"/>
        <n v="177.0"/>
        <n v="599.0"/>
        <n v="581.0"/>
        <n v="71.0"/>
        <n v="90.0"/>
        <n v="79.0"/>
        <n v="41.0"/>
        <n v="19.0"/>
        <n v="188.0"/>
        <n v="593.0"/>
        <n v="69.0"/>
        <n v="3500.0"/>
        <n v="50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563" sheet="Ingresos y Gastos"/>
  </cacheSource>
  <cacheFields>
    <cacheField name="Fecha" numFmtId="164">
      <sharedItems containsSemiMixedTypes="0" containsNonDate="0" containsDate="1" containsString="0" minDate="2023-01-01T00:00:00Z" maxDate="2024-01-01T00:00:00Z">
        <d v="2023-01-01T00:00:00Z"/>
        <d v="2023-01-03T00:00:00Z"/>
        <d v="2023-01-04T00:00:00Z"/>
        <d v="2023-01-05T00:00:00Z"/>
        <d v="2023-01-07T00:00:00Z"/>
        <d v="2023-01-08T00:00:00Z"/>
        <d v="2023-01-09T00:00:00Z"/>
        <d v="2023-01-10T00:00:00Z"/>
        <d v="2023-01-11T00:00:00Z"/>
        <d v="2023-01-13T00:00:00Z"/>
        <d v="2023-01-14T00:00:00Z"/>
        <d v="2023-01-15T00:00:00Z"/>
        <d v="2023-01-16T00:00:00Z"/>
        <d v="2023-01-17T00:00:00Z"/>
        <d v="2023-01-18T00:00:00Z"/>
        <d v="2023-01-19T00:00:00Z"/>
        <d v="2023-01-20T00:00:00Z"/>
        <d v="2023-01-21T00:00:00Z"/>
        <d v="2023-01-22T00:00:00Z"/>
        <d v="2023-01-23T00:00:00Z"/>
        <d v="2023-01-24T00:00:00Z"/>
        <d v="2023-01-26T00:00:00Z"/>
        <d v="2023-01-27T00:00:00Z"/>
        <d v="2023-01-28T00:00:00Z"/>
        <d v="2023-01-29T00:00:00Z"/>
        <d v="2023-01-30T00:00:00Z"/>
        <d v="2023-01-31T00:00:00Z"/>
        <d v="2023-02-01T00:00:00Z"/>
        <d v="2023-02-03T00:00:00Z"/>
        <d v="2023-02-05T00:00:00Z"/>
        <d v="2023-02-06T00:00:00Z"/>
        <d v="2023-02-08T00:00:00Z"/>
        <d v="2023-02-09T00:00:00Z"/>
        <d v="2023-02-10T00:00:00Z"/>
        <d v="2023-02-11T00:00:00Z"/>
        <d v="2023-02-12T00:00:00Z"/>
        <d v="2023-02-13T00:00:00Z"/>
        <d v="2023-02-14T00:00:00Z"/>
        <d v="2023-02-15T00:00:00Z"/>
        <d v="2023-02-16T00:00:00Z"/>
        <d v="2023-02-17T00:00:00Z"/>
        <d v="2023-02-20T00:00:00Z"/>
        <d v="2023-02-21T00:00:00Z"/>
        <d v="2023-02-24T00:00:00Z"/>
        <d v="2023-02-25T00:00:00Z"/>
        <d v="2023-02-26T00:00:00Z"/>
        <d v="2023-02-28T00:00:00Z"/>
        <d v="2023-03-02T00:00:00Z"/>
        <d v="2023-03-03T00:00:00Z"/>
        <d v="2023-03-04T00:00:00Z"/>
        <d v="2023-03-05T00:00:00Z"/>
        <d v="2023-03-06T00:00:00Z"/>
        <d v="2023-03-08T00:00:00Z"/>
        <d v="2023-03-10T00:00:00Z"/>
        <d v="2023-03-11T00:00:00Z"/>
        <d v="2023-03-12T00:00:00Z"/>
        <d v="2023-03-13T00:00:00Z"/>
        <d v="2023-03-14T00:00:00Z"/>
        <d v="2023-03-16T00:00:00Z"/>
        <d v="2023-03-17T00:00:00Z"/>
        <d v="2023-03-18T00:00:00Z"/>
        <d v="2023-03-19T00:00:00Z"/>
        <d v="2023-03-20T00:00:00Z"/>
        <d v="2023-03-21T00:00:00Z"/>
        <d v="2023-03-22T00:00:00Z"/>
        <d v="2023-03-23T00:00:00Z"/>
        <d v="2023-03-24T00:00:00Z"/>
        <d v="2023-03-26T00:00:00Z"/>
        <d v="2023-03-31T00:00:00Z"/>
        <d v="2023-04-01T00:00:00Z"/>
        <d v="2023-04-02T00:00:00Z"/>
        <d v="2023-04-03T00:00:00Z"/>
        <d v="2023-04-04T00:00:00Z"/>
        <d v="2023-04-05T00:00:00Z"/>
        <d v="2023-04-06T00:00:00Z"/>
        <d v="2023-04-07T00:00:00Z"/>
        <d v="2023-04-08T00:00:00Z"/>
        <d v="2023-04-10T00:00:00Z"/>
        <d v="2023-04-11T00:00:00Z"/>
        <d v="2023-04-12T00:00:00Z"/>
        <d v="2023-04-13T00:00:00Z"/>
        <d v="2023-04-15T00:00:00Z"/>
        <d v="2023-04-16T00:00:00Z"/>
        <d v="2023-04-17T00:00:00Z"/>
        <d v="2023-04-18T00:00:00Z"/>
        <d v="2023-04-19T00:00:00Z"/>
        <d v="2023-04-20T00:00:00Z"/>
        <d v="2023-04-21T00:00:00Z"/>
        <d v="2023-04-22T00:00:00Z"/>
        <d v="2023-04-24T00:00:00Z"/>
        <d v="2023-04-26T00:00:00Z"/>
        <d v="2023-04-27T00:00:00Z"/>
        <d v="2023-04-28T00:00:00Z"/>
        <d v="2023-04-29T00:00:00Z"/>
        <d v="2023-04-30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2T00:00:00Z"/>
        <d v="2023-05-23T00:00:00Z"/>
        <d v="2023-05-24T00:00:00Z"/>
        <d v="2023-05-25T00:00:00Z"/>
        <d v="2023-05-26T00:00:00Z"/>
        <d v="2023-05-27T00:00:00Z"/>
        <d v="2023-05-29T00:00:00Z"/>
        <d v="2023-05-30T00:00:00Z"/>
        <d v="2023-05-31T00:00:00Z"/>
        <d v="2023-06-01T00:00:00Z"/>
        <d v="2023-06-02T00:00:00Z"/>
        <d v="2023-06-03T00:00:00Z"/>
        <d v="2023-06-04T00:00:00Z"/>
        <d v="2023-06-05T00:00:00Z"/>
        <d v="2023-06-08T00:00:00Z"/>
        <d v="2023-06-09T00:00:00Z"/>
        <d v="2023-06-10T00:00:00Z"/>
        <d v="2023-06-11T00:00:00Z"/>
        <d v="2023-06-12T00:00:00Z"/>
        <d v="2023-06-13T00:00:00Z"/>
        <d v="2023-06-14T00:00:00Z"/>
        <d v="2023-06-15T00:00:00Z"/>
        <d v="2023-06-16T00:00:00Z"/>
        <d v="2023-06-18T00:00:00Z"/>
        <d v="2023-06-19T00:00:00Z"/>
        <d v="2023-06-21T00:00:00Z"/>
        <d v="2023-06-22T00:00:00Z"/>
        <d v="2023-06-23T00:00:00Z"/>
        <d v="2023-06-24T00:00:00Z"/>
        <d v="2023-06-26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1T00:00:00Z"/>
        <d v="2023-07-24T00:00:00Z"/>
        <d v="2023-07-25T00:00:00Z"/>
        <d v="2023-07-27T00:00:00Z"/>
        <d v="2023-07-28T00:00:00Z"/>
        <d v="2023-07-29T00:00:00Z"/>
        <d v="2023-07-30T00:00:00Z"/>
        <d v="2023-08-01T00:00:00Z"/>
        <d v="2023-08-02T00:00:00Z"/>
        <d v="2023-08-04T00:00:00Z"/>
        <d v="2023-08-05T00:00:00Z"/>
        <d v="2023-08-06T00:00:00Z"/>
        <d v="2023-08-07T00:00:00Z"/>
        <d v="2023-08-08T00:00:00Z"/>
        <d v="2023-08-09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6T00:00:00Z"/>
        <d v="2023-08-28T00:00:00Z"/>
        <d v="2023-08-29T00:00:00Z"/>
        <d v="2023-08-30T00:00:00Z"/>
        <d v="2023-08-31T00:00:00Z"/>
        <d v="2023-09-02T00:00:00Z"/>
        <d v="2023-09-05T00:00:00Z"/>
        <d v="2023-09-06T00:00:00Z"/>
        <d v="2023-09-07T00:00:00Z"/>
        <d v="2023-09-08T00:00:00Z"/>
        <d v="2023-09-09T00:00:00Z"/>
        <d v="2023-09-10T00:00:00Z"/>
        <d v="2023-09-11T00:00:00Z"/>
        <d v="2023-09-12T00:00:00Z"/>
        <d v="2023-09-13T00:00:00Z"/>
        <d v="2023-09-14T00:00:00Z"/>
        <d v="2023-09-16T00:00:00Z"/>
        <d v="2023-09-17T00:00:00Z"/>
        <d v="2023-09-18T00:00:00Z"/>
        <d v="2023-09-19T00:00:00Z"/>
        <d v="2023-09-20T00:00:00Z"/>
        <d v="2023-09-22T00:00:00Z"/>
        <d v="2023-09-23T00:00:00Z"/>
        <d v="2023-09-25T00:00:00Z"/>
        <d v="2023-09-28T00:00:00Z"/>
        <d v="2023-09-29T00:00:00Z"/>
        <d v="2023-10-01T00:00:00Z"/>
        <d v="2023-10-02T00:00:00Z"/>
        <d v="2023-10-03T00:00:00Z"/>
        <d v="2023-10-04T00:00:00Z"/>
        <d v="2023-10-05T00:00:00Z"/>
        <d v="2023-10-07T00:00:00Z"/>
        <d v="2023-10-08T00:00:00Z"/>
        <d v="2023-10-09T00:00:00Z"/>
        <d v="2023-10-12T00:00:00Z"/>
        <d v="2023-10-13T00:00:00Z"/>
        <d v="2023-10-14T00:00:00Z"/>
        <d v="2023-10-15T00:00:00Z"/>
        <d v="2023-10-16T00:00:00Z"/>
        <d v="2023-10-17T00:00:00Z"/>
        <d v="2023-10-18T00:00:00Z"/>
        <d v="2023-10-19T00:00:00Z"/>
        <d v="2023-10-21T00:00:00Z"/>
        <d v="2023-10-22T00:00:00Z"/>
        <d v="2023-10-23T00:00:00Z"/>
        <d v="2023-10-24T00:00:00Z"/>
        <d v="2023-10-25T00:00:00Z"/>
        <d v="2023-10-28T00:00:00Z"/>
        <d v="2023-10-29T00:00:00Z"/>
        <d v="2023-10-30T00:00:00Z"/>
        <d v="2023-10-31T00:00:00Z"/>
        <d v="2023-11-01T00:00:00Z"/>
        <d v="2023-11-02T00:00:00Z"/>
        <d v="2023-11-05T00:00:00Z"/>
        <d v="2023-11-06T00:00:00Z"/>
        <d v="2023-11-07T00:00:00Z"/>
        <d v="2023-11-08T00:00:00Z"/>
        <d v="2023-11-09T00:00:00Z"/>
        <d v="2023-11-10T00:00:00Z"/>
        <d v="2023-11-13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7T00:00:00Z"/>
        <d v="2023-12-09T00:00:00Z"/>
        <d v="2023-12-10T00:00:00Z"/>
        <d v="2023-12-11T00:00:00Z"/>
        <d v="2023-12-13T00:00:00Z"/>
        <d v="2023-12-14T00:00:00Z"/>
        <d v="2023-12-16T00:00:00Z"/>
        <d v="2023-12-17T00:00:00Z"/>
        <d v="2023-12-18T00:00:00Z"/>
        <d v="2023-12-19T00:00:00Z"/>
        <d v="2023-12-20T00:00:00Z"/>
        <d v="2023-12-21T00:00:00Z"/>
        <d v="2023-12-22T00:00:00Z"/>
        <d v="2023-12-23T00:00:00Z"/>
        <d v="2023-12-24T00:00:00Z"/>
        <d v="2023-12-25T00:00:00Z"/>
        <d v="2023-12-26T00:00:00Z"/>
        <d v="2023-12-28T00:00:00Z"/>
        <d v="2023-12-29T00:00:00Z"/>
        <d v="2023-12-30T00:00:00Z"/>
        <d v="2023-12-31T00:00:00Z"/>
      </sharedItems>
      <fieldGroup base="0">
        <rangePr autoStart="0" autoEnd="0" groupBy="months" startDate="2023-01-01T00:00:00Z" endDate="2024-01-01T00:00:00Z"/>
        <groupItems>
          <s v="&lt;01/01/23"/>
          <s v="Jan"/>
          <s v="Feb"/>
          <s v="Mar"/>
          <s v="Apr"/>
          <s v="May"/>
          <s v="Jun"/>
          <s v="Jul"/>
          <s v="Aug"/>
          <s v="Sep"/>
          <s v="Oct"/>
          <s v="Nov"/>
          <s v="Dec"/>
          <s v="&gt;01/01/24"/>
        </groupItems>
      </fieldGroup>
    </cacheField>
    <cacheField name="Trimestre" numFmtId="0">
      <sharedItems>
        <s v="T1"/>
        <s v="T2"/>
        <s v="T3"/>
        <s v="T4"/>
      </sharedItems>
    </cacheField>
    <cacheField name="Semestre" numFmtId="0">
      <sharedItems>
        <s v="Sem 1"/>
        <s v="Sem 2"/>
      </sharedItems>
    </cacheField>
    <cacheField name="Tipo" numFmtId="0">
      <sharedItems>
        <s v="Gastos"/>
        <s v="Ingresos"/>
      </sharedItems>
    </cacheField>
    <cacheField name="Categoría" numFmtId="0">
      <sharedItems>
        <s v="Hogar"/>
        <s v="Personal"/>
        <s v="Transporte"/>
        <s v="Entretenimiento"/>
        <s v="Mascotas"/>
        <s v="Ingreso Principal"/>
        <s v="Ingreso Extra"/>
      </sharedItems>
    </cacheField>
    <cacheField name="Sub-categoría" numFmtId="0">
      <sharedItems>
        <s v="Comida"/>
        <s v="Educación"/>
        <s v="Ropa"/>
        <s v="Mantenimiento"/>
        <s v="Viaje"/>
        <s v="Peaje"/>
        <s v="Estacionamiento"/>
        <s v="Comida de Mascota"/>
        <s v="Salario"/>
        <s v="Negocio"/>
        <s v="Electricidad"/>
        <s v="Renta"/>
        <s v="Internert+Cable"/>
        <s v="Agua"/>
        <s v="Gas"/>
        <s v="Seguro vehicular"/>
        <s v="Suscripción de streaming"/>
        <s v="Medicina-Masc"/>
      </sharedItems>
    </cacheField>
    <cacheField name="Monto" numFmtId="165">
      <sharedItems containsSemiMixedTypes="0" containsString="0" containsNumber="1" containsInteger="1">
        <n v="88.0"/>
        <n v="152.0"/>
        <n v="171.0"/>
        <n v="99.0"/>
        <n v="67.0"/>
        <n v="20.0"/>
        <n v="26.0"/>
        <n v="31.0"/>
        <n v="52.0"/>
        <n v="37.0"/>
        <n v="125.0"/>
        <n v="75.0"/>
        <n v="100.0"/>
        <n v="49.0"/>
        <n v="30.0"/>
        <n v="102.0"/>
        <n v="111.0"/>
        <n v="40.0"/>
        <n v="95.0"/>
        <n v="110.0"/>
        <n v="143.0"/>
        <n v="163.0"/>
        <n v="178.0"/>
        <n v="25.0"/>
        <n v="106.0"/>
        <n v="225.0"/>
        <n v="196.0"/>
        <n v="91.0"/>
        <n v="72.0"/>
        <n v="120.0"/>
        <n v="156.0"/>
        <n v="24.0"/>
        <n v="195.0"/>
        <n v="138.0"/>
        <n v="139.0"/>
        <n v="3000.0"/>
        <n v="1500.0"/>
        <n v="174.0"/>
        <n v="150.0"/>
        <n v="80.0"/>
        <n v="149.0"/>
        <n v="60.0"/>
        <n v="50.0"/>
        <n v="198.0"/>
        <n v="13.0"/>
        <n v="160.0"/>
        <n v="63.0"/>
        <n v="541.0"/>
        <n v="97.0"/>
        <n v="28.0"/>
        <n v="146.0"/>
        <n v="126.0"/>
        <n v="189.0"/>
        <n v="191.0"/>
        <n v="151.0"/>
        <n v="114.0"/>
        <n v="96.0"/>
        <n v="56.0"/>
        <n v="21.0"/>
        <n v="117.0"/>
        <n v="220.0"/>
        <n v="136.0"/>
        <n v="137.0"/>
        <n v="74.0"/>
        <n v="34.0"/>
        <n v="15.0"/>
        <n v="2000.0"/>
        <n v="115.0"/>
        <n v="130.0"/>
        <n v="93.0"/>
        <n v="127.0"/>
        <n v="39.0"/>
        <n v="42.0"/>
        <n v="45.0"/>
        <n v="122.0"/>
        <n v="199.0"/>
        <n v="84.0"/>
        <n v="59.0"/>
        <n v="18.0"/>
        <n v="237.0"/>
        <n v="185.0"/>
        <n v="158.0"/>
        <n v="2500.0"/>
        <n v="182.0"/>
        <n v="300.0"/>
        <n v="285.0"/>
        <n v="580.0"/>
        <n v="32.0"/>
        <n v="76.0"/>
        <n v="166.0"/>
        <n v="121.0"/>
        <n v="33.0"/>
        <n v="98.0"/>
        <n v="22.0"/>
        <n v="236.0"/>
        <n v="141.0"/>
        <n v="179.0"/>
        <n v="246.0"/>
        <n v="103.0"/>
        <n v="123.0"/>
        <n v="148.0"/>
        <n v="131.0"/>
        <n v="135.0"/>
        <n v="172.0"/>
        <n v="129.0"/>
        <n v="107.0"/>
        <n v="27.0"/>
        <n v="217.0"/>
        <n v="112.0"/>
        <n v="86.0"/>
        <n v="255.0"/>
        <n v="64.0"/>
        <n v="104.0"/>
        <n v="193.0"/>
        <n v="10.0"/>
        <n v="167.0"/>
        <n v="574.0"/>
        <n v="168.0"/>
        <n v="180.0"/>
        <n v="183.0"/>
        <n v="2700.0"/>
        <n v="164.0"/>
        <n v="124.0"/>
        <n v="51.0"/>
        <n v="36.0"/>
        <n v="48.0"/>
        <n v="78.0"/>
        <n v="154.0"/>
        <n v="159.0"/>
        <n v="155.0"/>
        <n v="44.0"/>
        <n v="101.0"/>
        <n v="165.0"/>
        <n v="587.0"/>
        <n v="161.0"/>
        <n v="23.0"/>
        <n v="81.0"/>
        <n v="128.0"/>
        <n v="77.0"/>
        <n v="83.0"/>
        <n v="118.0"/>
        <n v="190.0"/>
        <n v="197.0"/>
        <n v="501.0"/>
        <n v="70.0"/>
        <n v="89.0"/>
        <n v="525.0"/>
        <n v="169.0"/>
        <n v="38.0"/>
        <n v="145.0"/>
        <n v="29.0"/>
        <n v="58.0"/>
        <n v="260.0"/>
        <n v="3200.0"/>
        <n v="92.0"/>
        <n v="61.0"/>
        <n v="17.0"/>
        <n v="35.0"/>
        <n v="162.0"/>
        <n v="116.0"/>
        <n v="524.0"/>
        <n v="87.0"/>
        <n v="66.0"/>
        <n v="153.0"/>
        <n v="43.0"/>
        <n v="572.0"/>
        <n v="134.0"/>
        <n v="157.0"/>
        <n v="65.0"/>
        <n v="119.0"/>
        <n v="12.0"/>
        <n v="194.0"/>
        <n v="200.0"/>
        <n v="173.0"/>
        <n v="54.0"/>
        <n v="53.0"/>
        <n v="113.0"/>
        <n v="533.0"/>
        <n v="140.0"/>
        <n v="105.0"/>
        <n v="555.0"/>
        <n v="16.0"/>
        <n v="68.0"/>
        <n v="576.0"/>
        <n v="192.0"/>
        <n v="46.0"/>
        <n v="14.0"/>
        <n v="170.0"/>
        <n v="57.0"/>
        <n v="579.0"/>
        <n v="176.0"/>
        <n v="1900.0"/>
        <n v="94.0"/>
        <n v="142.0"/>
        <n v="47.0"/>
        <n v="177.0"/>
        <n v="599.0"/>
        <n v="581.0"/>
        <n v="71.0"/>
        <n v="90.0"/>
        <n v="79.0"/>
        <n v="41.0"/>
        <n v="19.0"/>
        <n v="188.0"/>
        <n v="593.0"/>
        <n v="69.0"/>
        <n v="3500.0"/>
        <n v="50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563" sheet="Ingresos y Gastos"/>
  </cacheSource>
  <cacheFields>
    <cacheField name="Fecha" numFmtId="164">
      <sharedItems containsSemiMixedTypes="0" containsNonDate="0" containsDate="1" containsString="0" minDate="2023-01-01T00:00:00Z" maxDate="2024-01-01T00:00:00Z">
        <d v="2023-01-01T00:00:00Z"/>
        <d v="2023-01-03T00:00:00Z"/>
        <d v="2023-01-04T00:00:00Z"/>
        <d v="2023-01-05T00:00:00Z"/>
        <d v="2023-01-07T00:00:00Z"/>
        <d v="2023-01-08T00:00:00Z"/>
        <d v="2023-01-09T00:00:00Z"/>
        <d v="2023-01-10T00:00:00Z"/>
        <d v="2023-01-11T00:00:00Z"/>
        <d v="2023-01-13T00:00:00Z"/>
        <d v="2023-01-14T00:00:00Z"/>
        <d v="2023-01-15T00:00:00Z"/>
        <d v="2023-01-16T00:00:00Z"/>
        <d v="2023-01-17T00:00:00Z"/>
        <d v="2023-01-18T00:00:00Z"/>
        <d v="2023-01-19T00:00:00Z"/>
        <d v="2023-01-20T00:00:00Z"/>
        <d v="2023-01-21T00:00:00Z"/>
        <d v="2023-01-22T00:00:00Z"/>
        <d v="2023-01-23T00:00:00Z"/>
        <d v="2023-01-24T00:00:00Z"/>
        <d v="2023-01-26T00:00:00Z"/>
        <d v="2023-01-27T00:00:00Z"/>
        <d v="2023-01-28T00:00:00Z"/>
        <d v="2023-01-29T00:00:00Z"/>
        <d v="2023-01-30T00:00:00Z"/>
        <d v="2023-01-31T00:00:00Z"/>
        <d v="2023-02-01T00:00:00Z"/>
        <d v="2023-02-03T00:00:00Z"/>
        <d v="2023-02-05T00:00:00Z"/>
        <d v="2023-02-06T00:00:00Z"/>
        <d v="2023-02-08T00:00:00Z"/>
        <d v="2023-02-09T00:00:00Z"/>
        <d v="2023-02-10T00:00:00Z"/>
        <d v="2023-02-11T00:00:00Z"/>
        <d v="2023-02-12T00:00:00Z"/>
        <d v="2023-02-13T00:00:00Z"/>
        <d v="2023-02-14T00:00:00Z"/>
        <d v="2023-02-15T00:00:00Z"/>
        <d v="2023-02-16T00:00:00Z"/>
        <d v="2023-02-17T00:00:00Z"/>
        <d v="2023-02-20T00:00:00Z"/>
        <d v="2023-02-21T00:00:00Z"/>
        <d v="2023-02-24T00:00:00Z"/>
        <d v="2023-02-25T00:00:00Z"/>
        <d v="2023-02-26T00:00:00Z"/>
        <d v="2023-02-28T00:00:00Z"/>
        <d v="2023-03-02T00:00:00Z"/>
        <d v="2023-03-03T00:00:00Z"/>
        <d v="2023-03-04T00:00:00Z"/>
        <d v="2023-03-05T00:00:00Z"/>
        <d v="2023-03-06T00:00:00Z"/>
        <d v="2023-03-08T00:00:00Z"/>
        <d v="2023-03-10T00:00:00Z"/>
        <d v="2023-03-11T00:00:00Z"/>
        <d v="2023-03-12T00:00:00Z"/>
        <d v="2023-03-13T00:00:00Z"/>
        <d v="2023-03-14T00:00:00Z"/>
        <d v="2023-03-16T00:00:00Z"/>
        <d v="2023-03-17T00:00:00Z"/>
        <d v="2023-03-18T00:00:00Z"/>
        <d v="2023-03-19T00:00:00Z"/>
        <d v="2023-03-20T00:00:00Z"/>
        <d v="2023-03-21T00:00:00Z"/>
        <d v="2023-03-22T00:00:00Z"/>
        <d v="2023-03-23T00:00:00Z"/>
        <d v="2023-03-24T00:00:00Z"/>
        <d v="2023-03-26T00:00:00Z"/>
        <d v="2023-03-31T00:00:00Z"/>
        <d v="2023-04-01T00:00:00Z"/>
        <d v="2023-04-02T00:00:00Z"/>
        <d v="2023-04-03T00:00:00Z"/>
        <d v="2023-04-04T00:00:00Z"/>
        <d v="2023-04-05T00:00:00Z"/>
        <d v="2023-04-06T00:00:00Z"/>
        <d v="2023-04-07T00:00:00Z"/>
        <d v="2023-04-08T00:00:00Z"/>
        <d v="2023-04-10T00:00:00Z"/>
        <d v="2023-04-11T00:00:00Z"/>
        <d v="2023-04-12T00:00:00Z"/>
        <d v="2023-04-13T00:00:00Z"/>
        <d v="2023-04-15T00:00:00Z"/>
        <d v="2023-04-16T00:00:00Z"/>
        <d v="2023-04-17T00:00:00Z"/>
        <d v="2023-04-18T00:00:00Z"/>
        <d v="2023-04-19T00:00:00Z"/>
        <d v="2023-04-20T00:00:00Z"/>
        <d v="2023-04-21T00:00:00Z"/>
        <d v="2023-04-22T00:00:00Z"/>
        <d v="2023-04-24T00:00:00Z"/>
        <d v="2023-04-26T00:00:00Z"/>
        <d v="2023-04-27T00:00:00Z"/>
        <d v="2023-04-28T00:00:00Z"/>
        <d v="2023-04-29T00:00:00Z"/>
        <d v="2023-04-30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2T00:00:00Z"/>
        <d v="2023-05-23T00:00:00Z"/>
        <d v="2023-05-24T00:00:00Z"/>
        <d v="2023-05-25T00:00:00Z"/>
        <d v="2023-05-26T00:00:00Z"/>
        <d v="2023-05-27T00:00:00Z"/>
        <d v="2023-05-29T00:00:00Z"/>
        <d v="2023-05-30T00:00:00Z"/>
        <d v="2023-05-31T00:00:00Z"/>
        <d v="2023-06-01T00:00:00Z"/>
        <d v="2023-06-02T00:00:00Z"/>
        <d v="2023-06-03T00:00:00Z"/>
        <d v="2023-06-04T00:00:00Z"/>
        <d v="2023-06-05T00:00:00Z"/>
        <d v="2023-06-08T00:00:00Z"/>
        <d v="2023-06-09T00:00:00Z"/>
        <d v="2023-06-10T00:00:00Z"/>
        <d v="2023-06-11T00:00:00Z"/>
        <d v="2023-06-12T00:00:00Z"/>
        <d v="2023-06-13T00:00:00Z"/>
        <d v="2023-06-14T00:00:00Z"/>
        <d v="2023-06-15T00:00:00Z"/>
        <d v="2023-06-16T00:00:00Z"/>
        <d v="2023-06-18T00:00:00Z"/>
        <d v="2023-06-19T00:00:00Z"/>
        <d v="2023-06-21T00:00:00Z"/>
        <d v="2023-06-22T00:00:00Z"/>
        <d v="2023-06-23T00:00:00Z"/>
        <d v="2023-06-24T00:00:00Z"/>
        <d v="2023-06-26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1T00:00:00Z"/>
        <d v="2023-07-24T00:00:00Z"/>
        <d v="2023-07-25T00:00:00Z"/>
        <d v="2023-07-27T00:00:00Z"/>
        <d v="2023-07-28T00:00:00Z"/>
        <d v="2023-07-29T00:00:00Z"/>
        <d v="2023-07-30T00:00:00Z"/>
        <d v="2023-08-01T00:00:00Z"/>
        <d v="2023-08-02T00:00:00Z"/>
        <d v="2023-08-04T00:00:00Z"/>
        <d v="2023-08-05T00:00:00Z"/>
        <d v="2023-08-06T00:00:00Z"/>
        <d v="2023-08-07T00:00:00Z"/>
        <d v="2023-08-08T00:00:00Z"/>
        <d v="2023-08-09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6T00:00:00Z"/>
        <d v="2023-08-28T00:00:00Z"/>
        <d v="2023-08-29T00:00:00Z"/>
        <d v="2023-08-30T00:00:00Z"/>
        <d v="2023-08-31T00:00:00Z"/>
        <d v="2023-09-02T00:00:00Z"/>
        <d v="2023-09-05T00:00:00Z"/>
        <d v="2023-09-06T00:00:00Z"/>
        <d v="2023-09-07T00:00:00Z"/>
        <d v="2023-09-08T00:00:00Z"/>
        <d v="2023-09-09T00:00:00Z"/>
        <d v="2023-09-10T00:00:00Z"/>
        <d v="2023-09-11T00:00:00Z"/>
        <d v="2023-09-12T00:00:00Z"/>
        <d v="2023-09-13T00:00:00Z"/>
        <d v="2023-09-14T00:00:00Z"/>
        <d v="2023-09-16T00:00:00Z"/>
        <d v="2023-09-17T00:00:00Z"/>
        <d v="2023-09-18T00:00:00Z"/>
        <d v="2023-09-19T00:00:00Z"/>
        <d v="2023-09-20T00:00:00Z"/>
        <d v="2023-09-22T00:00:00Z"/>
        <d v="2023-09-23T00:00:00Z"/>
        <d v="2023-09-25T00:00:00Z"/>
        <d v="2023-09-28T00:00:00Z"/>
        <d v="2023-09-29T00:00:00Z"/>
        <d v="2023-10-01T00:00:00Z"/>
        <d v="2023-10-02T00:00:00Z"/>
        <d v="2023-10-03T00:00:00Z"/>
        <d v="2023-10-04T00:00:00Z"/>
        <d v="2023-10-05T00:00:00Z"/>
        <d v="2023-10-07T00:00:00Z"/>
        <d v="2023-10-08T00:00:00Z"/>
        <d v="2023-10-09T00:00:00Z"/>
        <d v="2023-10-12T00:00:00Z"/>
        <d v="2023-10-13T00:00:00Z"/>
        <d v="2023-10-14T00:00:00Z"/>
        <d v="2023-10-15T00:00:00Z"/>
        <d v="2023-10-16T00:00:00Z"/>
        <d v="2023-10-17T00:00:00Z"/>
        <d v="2023-10-18T00:00:00Z"/>
        <d v="2023-10-19T00:00:00Z"/>
        <d v="2023-10-21T00:00:00Z"/>
        <d v="2023-10-22T00:00:00Z"/>
        <d v="2023-10-23T00:00:00Z"/>
        <d v="2023-10-24T00:00:00Z"/>
        <d v="2023-10-25T00:00:00Z"/>
        <d v="2023-10-28T00:00:00Z"/>
        <d v="2023-10-29T00:00:00Z"/>
        <d v="2023-10-30T00:00:00Z"/>
        <d v="2023-10-31T00:00:00Z"/>
        <d v="2023-11-01T00:00:00Z"/>
        <d v="2023-11-02T00:00:00Z"/>
        <d v="2023-11-05T00:00:00Z"/>
        <d v="2023-11-06T00:00:00Z"/>
        <d v="2023-11-07T00:00:00Z"/>
        <d v="2023-11-08T00:00:00Z"/>
        <d v="2023-11-09T00:00:00Z"/>
        <d v="2023-11-10T00:00:00Z"/>
        <d v="2023-11-13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7T00:00:00Z"/>
        <d v="2023-12-09T00:00:00Z"/>
        <d v="2023-12-10T00:00:00Z"/>
        <d v="2023-12-11T00:00:00Z"/>
        <d v="2023-12-13T00:00:00Z"/>
        <d v="2023-12-14T00:00:00Z"/>
        <d v="2023-12-16T00:00:00Z"/>
        <d v="2023-12-17T00:00:00Z"/>
        <d v="2023-12-18T00:00:00Z"/>
        <d v="2023-12-19T00:00:00Z"/>
        <d v="2023-12-20T00:00:00Z"/>
        <d v="2023-12-21T00:00:00Z"/>
        <d v="2023-12-22T00:00:00Z"/>
        <d v="2023-12-23T00:00:00Z"/>
        <d v="2023-12-24T00:00:00Z"/>
        <d v="2023-12-25T00:00:00Z"/>
        <d v="2023-12-26T00:00:00Z"/>
        <d v="2023-12-28T00:00:00Z"/>
        <d v="2023-12-29T00:00:00Z"/>
        <d v="2023-12-30T00:00:00Z"/>
        <d v="2023-12-31T00:00:00Z"/>
      </sharedItems>
      <fieldGroup base="0">
        <rangePr autoStart="0" autoEnd="0" groupBy="months" startDate="2023-01-01T00:00:00Z" endDate="2024-01-01T00:00:00Z"/>
        <groupItems>
          <s v="&lt;01/01/23"/>
          <s v="Jan"/>
          <s v="Feb"/>
          <s v="Mar"/>
          <s v="Apr"/>
          <s v="May"/>
          <s v="Jun"/>
          <s v="Jul"/>
          <s v="Aug"/>
          <s v="Sep"/>
          <s v="Oct"/>
          <s v="Nov"/>
          <s v="Dec"/>
          <s v="&gt;01/01/24"/>
        </groupItems>
      </fieldGroup>
    </cacheField>
    <cacheField name="Trimestre" numFmtId="0">
      <sharedItems>
        <s v="T1"/>
        <s v="T2"/>
        <s v="T3"/>
        <s v="T4"/>
      </sharedItems>
    </cacheField>
    <cacheField name="Semestre" numFmtId="0">
      <sharedItems>
        <s v="Sem 1"/>
        <s v="Sem 2"/>
      </sharedItems>
    </cacheField>
    <cacheField name="Tipo" numFmtId="0">
      <sharedItems>
        <s v="Gastos"/>
        <s v="Ingresos"/>
      </sharedItems>
    </cacheField>
    <cacheField name="Categoría" numFmtId="0">
      <sharedItems>
        <s v="Hogar"/>
        <s v="Personal"/>
        <s v="Transporte"/>
        <s v="Entretenimiento"/>
        <s v="Mascotas"/>
        <s v="Ingreso Principal"/>
        <s v="Ingreso Extra"/>
      </sharedItems>
    </cacheField>
    <cacheField name="Sub-categoría" numFmtId="0">
      <sharedItems>
        <s v="Comida"/>
        <s v="Educación"/>
        <s v="Ropa"/>
        <s v="Mantenimiento"/>
        <s v="Viaje"/>
        <s v="Peaje"/>
        <s v="Estacionamiento"/>
        <s v="Comida de Mascota"/>
        <s v="Salario"/>
        <s v="Negocio"/>
        <s v="Electricidad"/>
        <s v="Renta"/>
        <s v="Internert+Cable"/>
        <s v="Agua"/>
        <s v="Gas"/>
        <s v="Seguro vehicular"/>
        <s v="Suscripción de streaming"/>
        <s v="Medicina-Masc"/>
      </sharedItems>
    </cacheField>
    <cacheField name="Monto" numFmtId="165">
      <sharedItems containsSemiMixedTypes="0" containsString="0" containsNumber="1" containsInteger="1">
        <n v="88.0"/>
        <n v="152.0"/>
        <n v="171.0"/>
        <n v="99.0"/>
        <n v="67.0"/>
        <n v="20.0"/>
        <n v="26.0"/>
        <n v="31.0"/>
        <n v="52.0"/>
        <n v="37.0"/>
        <n v="125.0"/>
        <n v="75.0"/>
        <n v="100.0"/>
        <n v="49.0"/>
        <n v="30.0"/>
        <n v="102.0"/>
        <n v="111.0"/>
        <n v="40.0"/>
        <n v="95.0"/>
        <n v="110.0"/>
        <n v="143.0"/>
        <n v="163.0"/>
        <n v="178.0"/>
        <n v="25.0"/>
        <n v="106.0"/>
        <n v="225.0"/>
        <n v="196.0"/>
        <n v="91.0"/>
        <n v="72.0"/>
        <n v="120.0"/>
        <n v="156.0"/>
        <n v="24.0"/>
        <n v="195.0"/>
        <n v="138.0"/>
        <n v="139.0"/>
        <n v="3000.0"/>
        <n v="1500.0"/>
        <n v="174.0"/>
        <n v="150.0"/>
        <n v="80.0"/>
        <n v="149.0"/>
        <n v="60.0"/>
        <n v="50.0"/>
        <n v="198.0"/>
        <n v="13.0"/>
        <n v="160.0"/>
        <n v="63.0"/>
        <n v="541.0"/>
        <n v="97.0"/>
        <n v="28.0"/>
        <n v="146.0"/>
        <n v="126.0"/>
        <n v="189.0"/>
        <n v="191.0"/>
        <n v="151.0"/>
        <n v="114.0"/>
        <n v="96.0"/>
        <n v="56.0"/>
        <n v="21.0"/>
        <n v="117.0"/>
        <n v="220.0"/>
        <n v="136.0"/>
        <n v="137.0"/>
        <n v="74.0"/>
        <n v="34.0"/>
        <n v="15.0"/>
        <n v="2000.0"/>
        <n v="115.0"/>
        <n v="130.0"/>
        <n v="93.0"/>
        <n v="127.0"/>
        <n v="39.0"/>
        <n v="42.0"/>
        <n v="45.0"/>
        <n v="122.0"/>
        <n v="199.0"/>
        <n v="84.0"/>
        <n v="59.0"/>
        <n v="18.0"/>
        <n v="237.0"/>
        <n v="185.0"/>
        <n v="158.0"/>
        <n v="2500.0"/>
        <n v="182.0"/>
        <n v="300.0"/>
        <n v="285.0"/>
        <n v="580.0"/>
        <n v="32.0"/>
        <n v="76.0"/>
        <n v="166.0"/>
        <n v="121.0"/>
        <n v="33.0"/>
        <n v="98.0"/>
        <n v="22.0"/>
        <n v="236.0"/>
        <n v="141.0"/>
        <n v="179.0"/>
        <n v="246.0"/>
        <n v="103.0"/>
        <n v="123.0"/>
        <n v="148.0"/>
        <n v="131.0"/>
        <n v="135.0"/>
        <n v="172.0"/>
        <n v="129.0"/>
        <n v="107.0"/>
        <n v="27.0"/>
        <n v="217.0"/>
        <n v="112.0"/>
        <n v="86.0"/>
        <n v="255.0"/>
        <n v="64.0"/>
        <n v="104.0"/>
        <n v="193.0"/>
        <n v="10.0"/>
        <n v="167.0"/>
        <n v="574.0"/>
        <n v="168.0"/>
        <n v="180.0"/>
        <n v="183.0"/>
        <n v="2700.0"/>
        <n v="164.0"/>
        <n v="124.0"/>
        <n v="51.0"/>
        <n v="36.0"/>
        <n v="48.0"/>
        <n v="78.0"/>
        <n v="154.0"/>
        <n v="159.0"/>
        <n v="155.0"/>
        <n v="44.0"/>
        <n v="101.0"/>
        <n v="165.0"/>
        <n v="587.0"/>
        <n v="161.0"/>
        <n v="23.0"/>
        <n v="81.0"/>
        <n v="128.0"/>
        <n v="77.0"/>
        <n v="83.0"/>
        <n v="118.0"/>
        <n v="190.0"/>
        <n v="197.0"/>
        <n v="501.0"/>
        <n v="70.0"/>
        <n v="89.0"/>
        <n v="525.0"/>
        <n v="169.0"/>
        <n v="38.0"/>
        <n v="145.0"/>
        <n v="29.0"/>
        <n v="58.0"/>
        <n v="260.0"/>
        <n v="3200.0"/>
        <n v="92.0"/>
        <n v="61.0"/>
        <n v="17.0"/>
        <n v="35.0"/>
        <n v="162.0"/>
        <n v="116.0"/>
        <n v="524.0"/>
        <n v="87.0"/>
        <n v="66.0"/>
        <n v="153.0"/>
        <n v="43.0"/>
        <n v="572.0"/>
        <n v="134.0"/>
        <n v="157.0"/>
        <n v="65.0"/>
        <n v="119.0"/>
        <n v="12.0"/>
        <n v="194.0"/>
        <n v="200.0"/>
        <n v="173.0"/>
        <n v="54.0"/>
        <n v="53.0"/>
        <n v="113.0"/>
        <n v="533.0"/>
        <n v="140.0"/>
        <n v="105.0"/>
        <n v="555.0"/>
        <n v="16.0"/>
        <n v="68.0"/>
        <n v="576.0"/>
        <n v="192.0"/>
        <n v="46.0"/>
        <n v="14.0"/>
        <n v="170.0"/>
        <n v="57.0"/>
        <n v="579.0"/>
        <n v="176.0"/>
        <n v="1900.0"/>
        <n v="94.0"/>
        <n v="142.0"/>
        <n v="47.0"/>
        <n v="177.0"/>
        <n v="599.0"/>
        <n v="581.0"/>
        <n v="71.0"/>
        <n v="90.0"/>
        <n v="79.0"/>
        <n v="41.0"/>
        <n v="19.0"/>
        <n v="188.0"/>
        <n v="593.0"/>
        <n v="69.0"/>
        <n v="3500.0"/>
        <n v="500.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563" sheet="Ingresos y Gastos"/>
  </cacheSource>
  <cacheFields>
    <cacheField name="Fecha" numFmtId="164">
      <sharedItems containsSemiMixedTypes="0" containsNonDate="0" containsDate="1" containsString="0" minDate="2023-01-01T00:00:00Z" maxDate="2024-01-01T00:00:00Z">
        <d v="2023-01-01T00:00:00Z"/>
        <d v="2023-01-03T00:00:00Z"/>
        <d v="2023-01-04T00:00:00Z"/>
        <d v="2023-01-05T00:00:00Z"/>
        <d v="2023-01-07T00:00:00Z"/>
        <d v="2023-01-08T00:00:00Z"/>
        <d v="2023-01-09T00:00:00Z"/>
        <d v="2023-01-10T00:00:00Z"/>
        <d v="2023-01-11T00:00:00Z"/>
        <d v="2023-01-13T00:00:00Z"/>
        <d v="2023-01-14T00:00:00Z"/>
        <d v="2023-01-15T00:00:00Z"/>
        <d v="2023-01-16T00:00:00Z"/>
        <d v="2023-01-17T00:00:00Z"/>
        <d v="2023-01-18T00:00:00Z"/>
        <d v="2023-01-19T00:00:00Z"/>
        <d v="2023-01-20T00:00:00Z"/>
        <d v="2023-01-21T00:00:00Z"/>
        <d v="2023-01-22T00:00:00Z"/>
        <d v="2023-01-23T00:00:00Z"/>
        <d v="2023-01-24T00:00:00Z"/>
        <d v="2023-01-26T00:00:00Z"/>
        <d v="2023-01-27T00:00:00Z"/>
        <d v="2023-01-28T00:00:00Z"/>
        <d v="2023-01-29T00:00:00Z"/>
        <d v="2023-01-30T00:00:00Z"/>
        <d v="2023-01-31T00:00:00Z"/>
        <d v="2023-02-01T00:00:00Z"/>
        <d v="2023-02-03T00:00:00Z"/>
        <d v="2023-02-05T00:00:00Z"/>
        <d v="2023-02-06T00:00:00Z"/>
        <d v="2023-02-08T00:00:00Z"/>
        <d v="2023-02-09T00:00:00Z"/>
        <d v="2023-02-10T00:00:00Z"/>
        <d v="2023-02-11T00:00:00Z"/>
        <d v="2023-02-12T00:00:00Z"/>
        <d v="2023-02-13T00:00:00Z"/>
        <d v="2023-02-14T00:00:00Z"/>
        <d v="2023-02-15T00:00:00Z"/>
        <d v="2023-02-16T00:00:00Z"/>
        <d v="2023-02-17T00:00:00Z"/>
        <d v="2023-02-20T00:00:00Z"/>
        <d v="2023-02-21T00:00:00Z"/>
        <d v="2023-02-24T00:00:00Z"/>
        <d v="2023-02-25T00:00:00Z"/>
        <d v="2023-02-26T00:00:00Z"/>
        <d v="2023-02-28T00:00:00Z"/>
        <d v="2023-03-02T00:00:00Z"/>
        <d v="2023-03-03T00:00:00Z"/>
        <d v="2023-03-04T00:00:00Z"/>
        <d v="2023-03-05T00:00:00Z"/>
        <d v="2023-03-06T00:00:00Z"/>
        <d v="2023-03-08T00:00:00Z"/>
        <d v="2023-03-10T00:00:00Z"/>
        <d v="2023-03-11T00:00:00Z"/>
        <d v="2023-03-12T00:00:00Z"/>
        <d v="2023-03-13T00:00:00Z"/>
        <d v="2023-03-14T00:00:00Z"/>
        <d v="2023-03-16T00:00:00Z"/>
        <d v="2023-03-17T00:00:00Z"/>
        <d v="2023-03-18T00:00:00Z"/>
        <d v="2023-03-19T00:00:00Z"/>
        <d v="2023-03-20T00:00:00Z"/>
        <d v="2023-03-21T00:00:00Z"/>
        <d v="2023-03-22T00:00:00Z"/>
        <d v="2023-03-23T00:00:00Z"/>
        <d v="2023-03-24T00:00:00Z"/>
        <d v="2023-03-26T00:00:00Z"/>
        <d v="2023-03-31T00:00:00Z"/>
        <d v="2023-04-01T00:00:00Z"/>
        <d v="2023-04-02T00:00:00Z"/>
        <d v="2023-04-03T00:00:00Z"/>
        <d v="2023-04-04T00:00:00Z"/>
        <d v="2023-04-05T00:00:00Z"/>
        <d v="2023-04-06T00:00:00Z"/>
        <d v="2023-04-07T00:00:00Z"/>
        <d v="2023-04-08T00:00:00Z"/>
        <d v="2023-04-10T00:00:00Z"/>
        <d v="2023-04-11T00:00:00Z"/>
        <d v="2023-04-12T00:00:00Z"/>
        <d v="2023-04-13T00:00:00Z"/>
        <d v="2023-04-15T00:00:00Z"/>
        <d v="2023-04-16T00:00:00Z"/>
        <d v="2023-04-17T00:00:00Z"/>
        <d v="2023-04-18T00:00:00Z"/>
        <d v="2023-04-19T00:00:00Z"/>
        <d v="2023-04-20T00:00:00Z"/>
        <d v="2023-04-21T00:00:00Z"/>
        <d v="2023-04-22T00:00:00Z"/>
        <d v="2023-04-24T00:00:00Z"/>
        <d v="2023-04-26T00:00:00Z"/>
        <d v="2023-04-27T00:00:00Z"/>
        <d v="2023-04-28T00:00:00Z"/>
        <d v="2023-04-29T00:00:00Z"/>
        <d v="2023-04-30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2T00:00:00Z"/>
        <d v="2023-05-23T00:00:00Z"/>
        <d v="2023-05-24T00:00:00Z"/>
        <d v="2023-05-25T00:00:00Z"/>
        <d v="2023-05-26T00:00:00Z"/>
        <d v="2023-05-27T00:00:00Z"/>
        <d v="2023-05-29T00:00:00Z"/>
        <d v="2023-05-30T00:00:00Z"/>
        <d v="2023-05-31T00:00:00Z"/>
        <d v="2023-06-01T00:00:00Z"/>
        <d v="2023-06-02T00:00:00Z"/>
        <d v="2023-06-03T00:00:00Z"/>
        <d v="2023-06-04T00:00:00Z"/>
        <d v="2023-06-05T00:00:00Z"/>
        <d v="2023-06-08T00:00:00Z"/>
        <d v="2023-06-09T00:00:00Z"/>
        <d v="2023-06-10T00:00:00Z"/>
        <d v="2023-06-11T00:00:00Z"/>
        <d v="2023-06-12T00:00:00Z"/>
        <d v="2023-06-13T00:00:00Z"/>
        <d v="2023-06-14T00:00:00Z"/>
        <d v="2023-06-15T00:00:00Z"/>
        <d v="2023-06-16T00:00:00Z"/>
        <d v="2023-06-18T00:00:00Z"/>
        <d v="2023-06-19T00:00:00Z"/>
        <d v="2023-06-21T00:00:00Z"/>
        <d v="2023-06-22T00:00:00Z"/>
        <d v="2023-06-23T00:00:00Z"/>
        <d v="2023-06-24T00:00:00Z"/>
        <d v="2023-06-26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1T00:00:00Z"/>
        <d v="2023-07-24T00:00:00Z"/>
        <d v="2023-07-25T00:00:00Z"/>
        <d v="2023-07-27T00:00:00Z"/>
        <d v="2023-07-28T00:00:00Z"/>
        <d v="2023-07-29T00:00:00Z"/>
        <d v="2023-07-30T00:00:00Z"/>
        <d v="2023-08-01T00:00:00Z"/>
        <d v="2023-08-02T00:00:00Z"/>
        <d v="2023-08-04T00:00:00Z"/>
        <d v="2023-08-05T00:00:00Z"/>
        <d v="2023-08-06T00:00:00Z"/>
        <d v="2023-08-07T00:00:00Z"/>
        <d v="2023-08-08T00:00:00Z"/>
        <d v="2023-08-09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6T00:00:00Z"/>
        <d v="2023-08-28T00:00:00Z"/>
        <d v="2023-08-29T00:00:00Z"/>
        <d v="2023-08-30T00:00:00Z"/>
        <d v="2023-08-31T00:00:00Z"/>
        <d v="2023-09-02T00:00:00Z"/>
        <d v="2023-09-05T00:00:00Z"/>
        <d v="2023-09-06T00:00:00Z"/>
        <d v="2023-09-07T00:00:00Z"/>
        <d v="2023-09-08T00:00:00Z"/>
        <d v="2023-09-09T00:00:00Z"/>
        <d v="2023-09-10T00:00:00Z"/>
        <d v="2023-09-11T00:00:00Z"/>
        <d v="2023-09-12T00:00:00Z"/>
        <d v="2023-09-13T00:00:00Z"/>
        <d v="2023-09-14T00:00:00Z"/>
        <d v="2023-09-16T00:00:00Z"/>
        <d v="2023-09-17T00:00:00Z"/>
        <d v="2023-09-18T00:00:00Z"/>
        <d v="2023-09-19T00:00:00Z"/>
        <d v="2023-09-20T00:00:00Z"/>
        <d v="2023-09-22T00:00:00Z"/>
        <d v="2023-09-23T00:00:00Z"/>
        <d v="2023-09-25T00:00:00Z"/>
        <d v="2023-09-28T00:00:00Z"/>
        <d v="2023-09-29T00:00:00Z"/>
        <d v="2023-10-01T00:00:00Z"/>
        <d v="2023-10-02T00:00:00Z"/>
        <d v="2023-10-03T00:00:00Z"/>
        <d v="2023-10-04T00:00:00Z"/>
        <d v="2023-10-05T00:00:00Z"/>
        <d v="2023-10-07T00:00:00Z"/>
        <d v="2023-10-08T00:00:00Z"/>
        <d v="2023-10-09T00:00:00Z"/>
        <d v="2023-10-12T00:00:00Z"/>
        <d v="2023-10-13T00:00:00Z"/>
        <d v="2023-10-14T00:00:00Z"/>
        <d v="2023-10-15T00:00:00Z"/>
        <d v="2023-10-16T00:00:00Z"/>
        <d v="2023-10-17T00:00:00Z"/>
        <d v="2023-10-18T00:00:00Z"/>
        <d v="2023-10-19T00:00:00Z"/>
        <d v="2023-10-21T00:00:00Z"/>
        <d v="2023-10-22T00:00:00Z"/>
        <d v="2023-10-23T00:00:00Z"/>
        <d v="2023-10-24T00:00:00Z"/>
        <d v="2023-10-25T00:00:00Z"/>
        <d v="2023-10-28T00:00:00Z"/>
        <d v="2023-10-29T00:00:00Z"/>
        <d v="2023-10-30T00:00:00Z"/>
        <d v="2023-10-31T00:00:00Z"/>
        <d v="2023-11-01T00:00:00Z"/>
        <d v="2023-11-02T00:00:00Z"/>
        <d v="2023-11-05T00:00:00Z"/>
        <d v="2023-11-06T00:00:00Z"/>
        <d v="2023-11-07T00:00:00Z"/>
        <d v="2023-11-08T00:00:00Z"/>
        <d v="2023-11-09T00:00:00Z"/>
        <d v="2023-11-10T00:00:00Z"/>
        <d v="2023-11-13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7T00:00:00Z"/>
        <d v="2023-12-09T00:00:00Z"/>
        <d v="2023-12-10T00:00:00Z"/>
        <d v="2023-12-11T00:00:00Z"/>
        <d v="2023-12-13T00:00:00Z"/>
        <d v="2023-12-14T00:00:00Z"/>
        <d v="2023-12-16T00:00:00Z"/>
        <d v="2023-12-17T00:00:00Z"/>
        <d v="2023-12-18T00:00:00Z"/>
        <d v="2023-12-19T00:00:00Z"/>
        <d v="2023-12-20T00:00:00Z"/>
        <d v="2023-12-21T00:00:00Z"/>
        <d v="2023-12-22T00:00:00Z"/>
        <d v="2023-12-23T00:00:00Z"/>
        <d v="2023-12-24T00:00:00Z"/>
        <d v="2023-12-25T00:00:00Z"/>
        <d v="2023-12-26T00:00:00Z"/>
        <d v="2023-12-28T00:00:00Z"/>
        <d v="2023-12-29T00:00:00Z"/>
        <d v="2023-12-30T00:00:00Z"/>
        <d v="2023-12-31T00:00:00Z"/>
      </sharedItems>
      <fieldGroup base="0">
        <rangePr autoStart="0" autoEnd="0" groupBy="months" startDate="2023-01-01T00:00:00Z" endDate="2024-01-01T00:00:00Z"/>
        <groupItems>
          <s v="&lt;01/01/23"/>
          <s v="Jan"/>
          <s v="Feb"/>
          <s v="Mar"/>
          <s v="Apr"/>
          <s v="May"/>
          <s v="Jun"/>
          <s v="Jul"/>
          <s v="Aug"/>
          <s v="Sep"/>
          <s v="Oct"/>
          <s v="Nov"/>
          <s v="Dec"/>
          <s v="&gt;01/01/24"/>
        </groupItems>
      </fieldGroup>
    </cacheField>
    <cacheField name="Trimestre" numFmtId="0">
      <sharedItems>
        <s v="T1"/>
        <s v="T2"/>
        <s v="T3"/>
        <s v="T4"/>
      </sharedItems>
    </cacheField>
    <cacheField name="Semestre" numFmtId="0">
      <sharedItems>
        <s v="Sem 1"/>
        <s v="Sem 2"/>
      </sharedItems>
    </cacheField>
    <cacheField name="Tipo" numFmtId="0">
      <sharedItems>
        <s v="Gastos"/>
        <s v="Ingresos"/>
      </sharedItems>
    </cacheField>
    <cacheField name="Categoría" numFmtId="0">
      <sharedItems>
        <s v="Hogar"/>
        <s v="Personal"/>
        <s v="Transporte"/>
        <s v="Entretenimiento"/>
        <s v="Mascotas"/>
        <s v="Ingreso Principal"/>
        <s v="Ingreso Extra"/>
      </sharedItems>
    </cacheField>
    <cacheField name="Sub-categoría" numFmtId="0">
      <sharedItems>
        <s v="Comida"/>
        <s v="Educación"/>
        <s v="Ropa"/>
        <s v="Mantenimiento"/>
        <s v="Viaje"/>
        <s v="Peaje"/>
        <s v="Estacionamiento"/>
        <s v="Comida de Mascota"/>
        <s v="Salario"/>
        <s v="Negocio"/>
        <s v="Electricidad"/>
        <s v="Renta"/>
        <s v="Internert+Cable"/>
        <s v="Agua"/>
        <s v="Gas"/>
        <s v="Seguro vehicular"/>
        <s v="Suscripción de streaming"/>
        <s v="Medicina-Masc"/>
      </sharedItems>
    </cacheField>
    <cacheField name="Monto" numFmtId="165">
      <sharedItems containsSemiMixedTypes="0" containsString="0" containsNumber="1" containsInteger="1">
        <n v="88.0"/>
        <n v="152.0"/>
        <n v="171.0"/>
        <n v="99.0"/>
        <n v="67.0"/>
        <n v="20.0"/>
        <n v="26.0"/>
        <n v="31.0"/>
        <n v="52.0"/>
        <n v="37.0"/>
        <n v="125.0"/>
        <n v="75.0"/>
        <n v="100.0"/>
        <n v="49.0"/>
        <n v="30.0"/>
        <n v="102.0"/>
        <n v="111.0"/>
        <n v="40.0"/>
        <n v="95.0"/>
        <n v="110.0"/>
        <n v="143.0"/>
        <n v="163.0"/>
        <n v="178.0"/>
        <n v="25.0"/>
        <n v="106.0"/>
        <n v="225.0"/>
        <n v="196.0"/>
        <n v="91.0"/>
        <n v="72.0"/>
        <n v="120.0"/>
        <n v="156.0"/>
        <n v="24.0"/>
        <n v="195.0"/>
        <n v="138.0"/>
        <n v="139.0"/>
        <n v="3000.0"/>
        <n v="1500.0"/>
        <n v="174.0"/>
        <n v="150.0"/>
        <n v="80.0"/>
        <n v="149.0"/>
        <n v="60.0"/>
        <n v="50.0"/>
        <n v="198.0"/>
        <n v="13.0"/>
        <n v="160.0"/>
        <n v="63.0"/>
        <n v="541.0"/>
        <n v="97.0"/>
        <n v="28.0"/>
        <n v="146.0"/>
        <n v="126.0"/>
        <n v="189.0"/>
        <n v="191.0"/>
        <n v="151.0"/>
        <n v="114.0"/>
        <n v="96.0"/>
        <n v="56.0"/>
        <n v="21.0"/>
        <n v="117.0"/>
        <n v="220.0"/>
        <n v="136.0"/>
        <n v="137.0"/>
        <n v="74.0"/>
        <n v="34.0"/>
        <n v="15.0"/>
        <n v="2000.0"/>
        <n v="115.0"/>
        <n v="130.0"/>
        <n v="93.0"/>
        <n v="127.0"/>
        <n v="39.0"/>
        <n v="42.0"/>
        <n v="45.0"/>
        <n v="122.0"/>
        <n v="199.0"/>
        <n v="84.0"/>
        <n v="59.0"/>
        <n v="18.0"/>
        <n v="237.0"/>
        <n v="185.0"/>
        <n v="158.0"/>
        <n v="2500.0"/>
        <n v="182.0"/>
        <n v="300.0"/>
        <n v="285.0"/>
        <n v="580.0"/>
        <n v="32.0"/>
        <n v="76.0"/>
        <n v="166.0"/>
        <n v="121.0"/>
        <n v="33.0"/>
        <n v="98.0"/>
        <n v="22.0"/>
        <n v="236.0"/>
        <n v="141.0"/>
        <n v="179.0"/>
        <n v="246.0"/>
        <n v="103.0"/>
        <n v="123.0"/>
        <n v="148.0"/>
        <n v="131.0"/>
        <n v="135.0"/>
        <n v="172.0"/>
        <n v="129.0"/>
        <n v="107.0"/>
        <n v="27.0"/>
        <n v="217.0"/>
        <n v="112.0"/>
        <n v="86.0"/>
        <n v="255.0"/>
        <n v="64.0"/>
        <n v="104.0"/>
        <n v="193.0"/>
        <n v="10.0"/>
        <n v="167.0"/>
        <n v="574.0"/>
        <n v="168.0"/>
        <n v="180.0"/>
        <n v="183.0"/>
        <n v="2700.0"/>
        <n v="164.0"/>
        <n v="124.0"/>
        <n v="51.0"/>
        <n v="36.0"/>
        <n v="48.0"/>
        <n v="78.0"/>
        <n v="154.0"/>
        <n v="159.0"/>
        <n v="155.0"/>
        <n v="44.0"/>
        <n v="101.0"/>
        <n v="165.0"/>
        <n v="587.0"/>
        <n v="161.0"/>
        <n v="23.0"/>
        <n v="81.0"/>
        <n v="128.0"/>
        <n v="77.0"/>
        <n v="83.0"/>
        <n v="118.0"/>
        <n v="190.0"/>
        <n v="197.0"/>
        <n v="501.0"/>
        <n v="70.0"/>
        <n v="89.0"/>
        <n v="525.0"/>
        <n v="169.0"/>
        <n v="38.0"/>
        <n v="145.0"/>
        <n v="29.0"/>
        <n v="58.0"/>
        <n v="260.0"/>
        <n v="3200.0"/>
        <n v="92.0"/>
        <n v="61.0"/>
        <n v="17.0"/>
        <n v="35.0"/>
        <n v="162.0"/>
        <n v="116.0"/>
        <n v="524.0"/>
        <n v="87.0"/>
        <n v="66.0"/>
        <n v="153.0"/>
        <n v="43.0"/>
        <n v="572.0"/>
        <n v="134.0"/>
        <n v="157.0"/>
        <n v="65.0"/>
        <n v="119.0"/>
        <n v="12.0"/>
        <n v="194.0"/>
        <n v="200.0"/>
        <n v="173.0"/>
        <n v="54.0"/>
        <n v="53.0"/>
        <n v="113.0"/>
        <n v="533.0"/>
        <n v="140.0"/>
        <n v="105.0"/>
        <n v="555.0"/>
        <n v="16.0"/>
        <n v="68.0"/>
        <n v="576.0"/>
        <n v="192.0"/>
        <n v="46.0"/>
        <n v="14.0"/>
        <n v="170.0"/>
        <n v="57.0"/>
        <n v="579.0"/>
        <n v="176.0"/>
        <n v="1900.0"/>
        <n v="94.0"/>
        <n v="142.0"/>
        <n v="47.0"/>
        <n v="177.0"/>
        <n v="599.0"/>
        <n v="581.0"/>
        <n v="71.0"/>
        <n v="90.0"/>
        <n v="79.0"/>
        <n v="41.0"/>
        <n v="19.0"/>
        <n v="188.0"/>
        <n v="593.0"/>
        <n v="69.0"/>
        <n v="3500.0"/>
        <n v="500.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563" sheet="Ingresos y Gastos"/>
  </cacheSource>
  <cacheFields>
    <cacheField name="Fecha" numFmtId="164">
      <sharedItems containsSemiMixedTypes="0" containsDate="1" containsString="0">
        <d v="2023-01-01T00:00:00Z"/>
        <d v="2023-01-03T00:00:00Z"/>
        <d v="2023-01-04T00:00:00Z"/>
        <d v="2023-01-05T00:00:00Z"/>
        <d v="2023-01-07T00:00:00Z"/>
        <d v="2023-01-08T00:00:00Z"/>
        <d v="2023-01-09T00:00:00Z"/>
        <d v="2023-01-10T00:00:00Z"/>
        <d v="2023-01-11T00:00:00Z"/>
        <d v="2023-01-13T00:00:00Z"/>
        <d v="2023-01-14T00:00:00Z"/>
        <d v="2023-01-15T00:00:00Z"/>
        <d v="2023-01-16T00:00:00Z"/>
        <d v="2023-01-17T00:00:00Z"/>
        <d v="2023-01-18T00:00:00Z"/>
        <d v="2023-01-19T00:00:00Z"/>
        <d v="2023-01-20T00:00:00Z"/>
        <d v="2023-01-21T00:00:00Z"/>
        <d v="2023-01-22T00:00:00Z"/>
        <d v="2023-01-23T00:00:00Z"/>
        <d v="2023-01-24T00:00:00Z"/>
        <d v="2023-01-26T00:00:00Z"/>
        <d v="2023-01-27T00:00:00Z"/>
        <d v="2023-01-28T00:00:00Z"/>
        <d v="2023-01-29T00:00:00Z"/>
        <d v="2023-01-30T00:00:00Z"/>
        <d v="2023-01-31T00:00:00Z"/>
        <d v="2023-02-01T00:00:00Z"/>
        <d v="2023-02-03T00:00:00Z"/>
        <d v="2023-02-05T00:00:00Z"/>
        <d v="2023-02-06T00:00:00Z"/>
        <d v="2023-02-08T00:00:00Z"/>
        <d v="2023-02-09T00:00:00Z"/>
        <d v="2023-02-10T00:00:00Z"/>
        <d v="2023-02-11T00:00:00Z"/>
        <d v="2023-02-12T00:00:00Z"/>
        <d v="2023-02-13T00:00:00Z"/>
        <d v="2023-02-14T00:00:00Z"/>
        <d v="2023-02-15T00:00:00Z"/>
        <d v="2023-02-16T00:00:00Z"/>
        <d v="2023-02-17T00:00:00Z"/>
        <d v="2023-02-20T00:00:00Z"/>
        <d v="2023-02-21T00:00:00Z"/>
        <d v="2023-02-24T00:00:00Z"/>
        <d v="2023-02-25T00:00:00Z"/>
        <d v="2023-02-26T00:00:00Z"/>
        <d v="2023-02-28T00:00:00Z"/>
        <d v="2023-03-02T00:00:00Z"/>
        <d v="2023-03-03T00:00:00Z"/>
        <d v="2023-03-04T00:00:00Z"/>
        <d v="2023-03-05T00:00:00Z"/>
        <d v="2023-03-06T00:00:00Z"/>
        <d v="2023-03-08T00:00:00Z"/>
        <d v="2023-03-10T00:00:00Z"/>
        <d v="2023-03-11T00:00:00Z"/>
        <d v="2023-03-12T00:00:00Z"/>
        <d v="2023-03-13T00:00:00Z"/>
        <d v="2023-03-14T00:00:00Z"/>
        <d v="2023-03-16T00:00:00Z"/>
        <d v="2023-03-17T00:00:00Z"/>
        <d v="2023-03-18T00:00:00Z"/>
        <d v="2023-03-19T00:00:00Z"/>
        <d v="2023-03-20T00:00:00Z"/>
        <d v="2023-03-21T00:00:00Z"/>
        <d v="2023-03-22T00:00:00Z"/>
        <d v="2023-03-23T00:00:00Z"/>
        <d v="2023-03-24T00:00:00Z"/>
        <d v="2023-03-26T00:00:00Z"/>
        <d v="2023-03-31T00:00:00Z"/>
        <d v="2023-04-01T00:00:00Z"/>
        <d v="2023-04-02T00:00:00Z"/>
        <d v="2023-04-03T00:00:00Z"/>
        <d v="2023-04-04T00:00:00Z"/>
        <d v="2023-04-05T00:00:00Z"/>
        <d v="2023-04-06T00:00:00Z"/>
        <d v="2023-04-07T00:00:00Z"/>
        <d v="2023-04-08T00:00:00Z"/>
        <d v="2023-04-10T00:00:00Z"/>
        <d v="2023-04-11T00:00:00Z"/>
        <d v="2023-04-12T00:00:00Z"/>
        <d v="2023-04-13T00:00:00Z"/>
        <d v="2023-04-15T00:00:00Z"/>
        <d v="2023-04-16T00:00:00Z"/>
        <d v="2023-04-17T00:00:00Z"/>
        <d v="2023-04-18T00:00:00Z"/>
        <d v="2023-04-19T00:00:00Z"/>
        <d v="2023-04-20T00:00:00Z"/>
        <d v="2023-04-21T00:00:00Z"/>
        <d v="2023-04-22T00:00:00Z"/>
        <d v="2023-04-24T00:00:00Z"/>
        <d v="2023-04-26T00:00:00Z"/>
        <d v="2023-04-27T00:00:00Z"/>
        <d v="2023-04-28T00:00:00Z"/>
        <d v="2023-04-29T00:00:00Z"/>
        <d v="2023-04-30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2T00:00:00Z"/>
        <d v="2023-05-23T00:00:00Z"/>
        <d v="2023-05-24T00:00:00Z"/>
        <d v="2023-05-25T00:00:00Z"/>
        <d v="2023-05-26T00:00:00Z"/>
        <d v="2023-05-27T00:00:00Z"/>
        <d v="2023-05-29T00:00:00Z"/>
        <d v="2023-05-30T00:00:00Z"/>
        <d v="2023-05-31T00:00:00Z"/>
        <d v="2023-06-01T00:00:00Z"/>
        <d v="2023-06-02T00:00:00Z"/>
        <d v="2023-06-03T00:00:00Z"/>
        <d v="2023-06-04T00:00:00Z"/>
        <d v="2023-06-05T00:00:00Z"/>
        <d v="2023-06-08T00:00:00Z"/>
        <d v="2023-06-09T00:00:00Z"/>
        <d v="2023-06-10T00:00:00Z"/>
        <d v="2023-06-11T00:00:00Z"/>
        <d v="2023-06-12T00:00:00Z"/>
        <d v="2023-06-13T00:00:00Z"/>
        <d v="2023-06-14T00:00:00Z"/>
        <d v="2023-06-15T00:00:00Z"/>
        <d v="2023-06-16T00:00:00Z"/>
        <d v="2023-06-18T00:00:00Z"/>
        <d v="2023-06-19T00:00:00Z"/>
        <d v="2023-06-21T00:00:00Z"/>
        <d v="2023-06-22T00:00:00Z"/>
        <d v="2023-06-23T00:00:00Z"/>
        <d v="2023-06-24T00:00:00Z"/>
        <d v="2023-06-26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1T00:00:00Z"/>
        <d v="2023-07-24T00:00:00Z"/>
        <d v="2023-07-25T00:00:00Z"/>
        <d v="2023-07-27T00:00:00Z"/>
        <d v="2023-07-28T00:00:00Z"/>
        <d v="2023-07-29T00:00:00Z"/>
        <d v="2023-07-30T00:00:00Z"/>
        <d v="2023-08-01T00:00:00Z"/>
        <d v="2023-08-02T00:00:00Z"/>
        <d v="2023-08-04T00:00:00Z"/>
        <d v="2023-08-05T00:00:00Z"/>
        <d v="2023-08-06T00:00:00Z"/>
        <d v="2023-08-07T00:00:00Z"/>
        <d v="2023-08-08T00:00:00Z"/>
        <d v="2023-08-09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6T00:00:00Z"/>
        <d v="2023-08-28T00:00:00Z"/>
        <d v="2023-08-29T00:00:00Z"/>
        <d v="2023-08-30T00:00:00Z"/>
        <d v="2023-08-31T00:00:00Z"/>
        <d v="2023-09-02T00:00:00Z"/>
        <d v="2023-09-05T00:00:00Z"/>
        <d v="2023-09-06T00:00:00Z"/>
        <d v="2023-09-07T00:00:00Z"/>
        <d v="2023-09-08T00:00:00Z"/>
        <d v="2023-09-09T00:00:00Z"/>
        <d v="2023-09-10T00:00:00Z"/>
        <d v="2023-09-11T00:00:00Z"/>
        <d v="2023-09-12T00:00:00Z"/>
        <d v="2023-09-13T00:00:00Z"/>
        <d v="2023-09-14T00:00:00Z"/>
        <d v="2023-09-16T00:00:00Z"/>
        <d v="2023-09-17T00:00:00Z"/>
        <d v="2023-09-18T00:00:00Z"/>
        <d v="2023-09-19T00:00:00Z"/>
        <d v="2023-09-20T00:00:00Z"/>
        <d v="2023-09-22T00:00:00Z"/>
        <d v="2023-09-23T00:00:00Z"/>
        <d v="2023-09-25T00:00:00Z"/>
        <d v="2023-09-28T00:00:00Z"/>
        <d v="2023-09-29T00:00:00Z"/>
        <d v="2023-10-01T00:00:00Z"/>
        <d v="2023-10-02T00:00:00Z"/>
        <d v="2023-10-03T00:00:00Z"/>
        <d v="2023-10-04T00:00:00Z"/>
        <d v="2023-10-05T00:00:00Z"/>
        <d v="2023-10-07T00:00:00Z"/>
        <d v="2023-10-08T00:00:00Z"/>
        <d v="2023-10-09T00:00:00Z"/>
        <d v="2023-10-12T00:00:00Z"/>
        <d v="2023-10-13T00:00:00Z"/>
        <d v="2023-10-14T00:00:00Z"/>
        <d v="2023-10-15T00:00:00Z"/>
        <d v="2023-10-16T00:00:00Z"/>
        <d v="2023-10-17T00:00:00Z"/>
        <d v="2023-10-18T00:00:00Z"/>
        <d v="2023-10-19T00:00:00Z"/>
        <d v="2023-10-21T00:00:00Z"/>
        <d v="2023-10-22T00:00:00Z"/>
        <d v="2023-10-23T00:00:00Z"/>
        <d v="2023-10-24T00:00:00Z"/>
        <d v="2023-10-25T00:00:00Z"/>
        <d v="2023-10-28T00:00:00Z"/>
        <d v="2023-10-29T00:00:00Z"/>
        <d v="2023-10-30T00:00:00Z"/>
        <d v="2023-10-31T00:00:00Z"/>
        <d v="2023-11-01T00:00:00Z"/>
        <d v="2023-11-02T00:00:00Z"/>
        <d v="2023-11-05T00:00:00Z"/>
        <d v="2023-11-06T00:00:00Z"/>
        <d v="2023-11-07T00:00:00Z"/>
        <d v="2023-11-08T00:00:00Z"/>
        <d v="2023-11-09T00:00:00Z"/>
        <d v="2023-11-10T00:00:00Z"/>
        <d v="2023-11-13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7T00:00:00Z"/>
        <d v="2023-12-09T00:00:00Z"/>
        <d v="2023-12-10T00:00:00Z"/>
        <d v="2023-12-11T00:00:00Z"/>
        <d v="2023-12-13T00:00:00Z"/>
        <d v="2023-12-14T00:00:00Z"/>
        <d v="2023-12-16T00:00:00Z"/>
        <d v="2023-12-17T00:00:00Z"/>
        <d v="2023-12-18T00:00:00Z"/>
        <d v="2023-12-19T00:00:00Z"/>
        <d v="2023-12-20T00:00:00Z"/>
        <d v="2023-12-21T00:00:00Z"/>
        <d v="2023-12-22T00:00:00Z"/>
        <d v="2023-12-23T00:00:00Z"/>
        <d v="2023-12-24T00:00:00Z"/>
        <d v="2023-12-25T00:00:00Z"/>
        <d v="2023-12-26T00:00:00Z"/>
        <d v="2023-12-28T00:00:00Z"/>
        <d v="2023-12-29T00:00:00Z"/>
        <d v="2023-12-30T00:00:00Z"/>
        <d v="2023-12-31T00:00:00Z"/>
      </sharedItems>
    </cacheField>
    <cacheField name="Trimestre" numFmtId="0">
      <sharedItems>
        <s v="T1"/>
        <s v="T2"/>
        <s v="T3"/>
        <s v="T4"/>
      </sharedItems>
    </cacheField>
    <cacheField name="Semestre" numFmtId="0">
      <sharedItems>
        <s v="Sem 1"/>
        <s v="Sem 2"/>
      </sharedItems>
    </cacheField>
    <cacheField name="Tipo" numFmtId="0">
      <sharedItems>
        <s v="Gastos"/>
        <s v="Ingresos"/>
      </sharedItems>
    </cacheField>
    <cacheField name="Categoría" numFmtId="0">
      <sharedItems>
        <s v="Hogar"/>
        <s v="Personal"/>
        <s v="Transporte"/>
        <s v="Entretenimiento"/>
        <s v="Mascotas"/>
        <s v="Ingreso Principal"/>
        <s v="Ingreso Extra"/>
      </sharedItems>
    </cacheField>
    <cacheField name="Sub-categoría" numFmtId="0">
      <sharedItems>
        <s v="Comida"/>
        <s v="Educación"/>
        <s v="Ropa"/>
        <s v="Mantenimiento"/>
        <s v="Viaje"/>
        <s v="Peaje"/>
        <s v="Estacionamiento"/>
        <s v="Comida de Mascota"/>
        <s v="Salario"/>
        <s v="Negocio"/>
        <s v="Electricidad"/>
        <s v="Renta"/>
        <s v="Internert+Cable"/>
        <s v="Agua"/>
        <s v="Gas"/>
        <s v="Seguro vehicular"/>
        <s v="Suscripción de streaming"/>
        <s v="Medicina-Masc"/>
      </sharedItems>
    </cacheField>
    <cacheField name="Monto" numFmtId="165">
      <sharedItems containsSemiMixedTypes="0" containsString="0" containsNumber="1" containsInteger="1">
        <n v="88.0"/>
        <n v="152.0"/>
        <n v="171.0"/>
        <n v="99.0"/>
        <n v="67.0"/>
        <n v="20.0"/>
        <n v="26.0"/>
        <n v="31.0"/>
        <n v="52.0"/>
        <n v="37.0"/>
        <n v="125.0"/>
        <n v="75.0"/>
        <n v="100.0"/>
        <n v="49.0"/>
        <n v="30.0"/>
        <n v="102.0"/>
        <n v="111.0"/>
        <n v="40.0"/>
        <n v="95.0"/>
        <n v="110.0"/>
        <n v="143.0"/>
        <n v="163.0"/>
        <n v="178.0"/>
        <n v="25.0"/>
        <n v="106.0"/>
        <n v="225.0"/>
        <n v="196.0"/>
        <n v="91.0"/>
        <n v="72.0"/>
        <n v="120.0"/>
        <n v="156.0"/>
        <n v="24.0"/>
        <n v="195.0"/>
        <n v="138.0"/>
        <n v="139.0"/>
        <n v="3000.0"/>
        <n v="1500.0"/>
        <n v="174.0"/>
        <n v="150.0"/>
        <n v="80.0"/>
        <n v="149.0"/>
        <n v="60.0"/>
        <n v="50.0"/>
        <n v="198.0"/>
        <n v="13.0"/>
        <n v="160.0"/>
        <n v="63.0"/>
        <n v="541.0"/>
        <n v="97.0"/>
        <n v="28.0"/>
        <n v="146.0"/>
        <n v="126.0"/>
        <n v="189.0"/>
        <n v="191.0"/>
        <n v="151.0"/>
        <n v="114.0"/>
        <n v="96.0"/>
        <n v="56.0"/>
        <n v="21.0"/>
        <n v="117.0"/>
        <n v="220.0"/>
        <n v="136.0"/>
        <n v="137.0"/>
        <n v="74.0"/>
        <n v="34.0"/>
        <n v="15.0"/>
        <n v="2000.0"/>
        <n v="115.0"/>
        <n v="130.0"/>
        <n v="93.0"/>
        <n v="127.0"/>
        <n v="39.0"/>
        <n v="42.0"/>
        <n v="45.0"/>
        <n v="122.0"/>
        <n v="199.0"/>
        <n v="84.0"/>
        <n v="59.0"/>
        <n v="18.0"/>
        <n v="237.0"/>
        <n v="185.0"/>
        <n v="158.0"/>
        <n v="2500.0"/>
        <n v="182.0"/>
        <n v="300.0"/>
        <n v="285.0"/>
        <n v="580.0"/>
        <n v="32.0"/>
        <n v="76.0"/>
        <n v="166.0"/>
        <n v="121.0"/>
        <n v="33.0"/>
        <n v="98.0"/>
        <n v="22.0"/>
        <n v="236.0"/>
        <n v="141.0"/>
        <n v="179.0"/>
        <n v="246.0"/>
        <n v="103.0"/>
        <n v="123.0"/>
        <n v="148.0"/>
        <n v="131.0"/>
        <n v="135.0"/>
        <n v="172.0"/>
        <n v="129.0"/>
        <n v="107.0"/>
        <n v="27.0"/>
        <n v="217.0"/>
        <n v="112.0"/>
        <n v="86.0"/>
        <n v="255.0"/>
        <n v="64.0"/>
        <n v="104.0"/>
        <n v="193.0"/>
        <n v="10.0"/>
        <n v="167.0"/>
        <n v="574.0"/>
        <n v="168.0"/>
        <n v="180.0"/>
        <n v="183.0"/>
        <n v="2700.0"/>
        <n v="164.0"/>
        <n v="124.0"/>
        <n v="51.0"/>
        <n v="36.0"/>
        <n v="48.0"/>
        <n v="78.0"/>
        <n v="154.0"/>
        <n v="159.0"/>
        <n v="155.0"/>
        <n v="44.0"/>
        <n v="101.0"/>
        <n v="165.0"/>
        <n v="587.0"/>
        <n v="161.0"/>
        <n v="23.0"/>
        <n v="81.0"/>
        <n v="128.0"/>
        <n v="77.0"/>
        <n v="83.0"/>
        <n v="118.0"/>
        <n v="190.0"/>
        <n v="197.0"/>
        <n v="501.0"/>
        <n v="70.0"/>
        <n v="89.0"/>
        <n v="525.0"/>
        <n v="169.0"/>
        <n v="38.0"/>
        <n v="145.0"/>
        <n v="29.0"/>
        <n v="58.0"/>
        <n v="260.0"/>
        <n v="3200.0"/>
        <n v="92.0"/>
        <n v="61.0"/>
        <n v="17.0"/>
        <n v="35.0"/>
        <n v="162.0"/>
        <n v="116.0"/>
        <n v="524.0"/>
        <n v="87.0"/>
        <n v="66.0"/>
        <n v="153.0"/>
        <n v="43.0"/>
        <n v="572.0"/>
        <n v="134.0"/>
        <n v="157.0"/>
        <n v="65.0"/>
        <n v="119.0"/>
        <n v="12.0"/>
        <n v="194.0"/>
        <n v="200.0"/>
        <n v="173.0"/>
        <n v="54.0"/>
        <n v="53.0"/>
        <n v="113.0"/>
        <n v="533.0"/>
        <n v="140.0"/>
        <n v="105.0"/>
        <n v="555.0"/>
        <n v="16.0"/>
        <n v="68.0"/>
        <n v="576.0"/>
        <n v="192.0"/>
        <n v="46.0"/>
        <n v="14.0"/>
        <n v="170.0"/>
        <n v="57.0"/>
        <n v="579.0"/>
        <n v="176.0"/>
        <n v="1900.0"/>
        <n v="94.0"/>
        <n v="142.0"/>
        <n v="47.0"/>
        <n v="177.0"/>
        <n v="599.0"/>
        <n v="581.0"/>
        <n v="71.0"/>
        <n v="90.0"/>
        <n v="79.0"/>
        <n v="41.0"/>
        <n v="19.0"/>
        <n v="188.0"/>
        <n v="593.0"/>
        <n v="69.0"/>
        <n v="3500.0"/>
        <n v="5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Análisis y Panel" cacheId="0" dataCaption="" rowGrandTotals="0" compact="0" compactData="0">
  <location ref="T9:U21" firstHeaderRow="0" firstDataRow="1" firstDataCol="0" rowPageCount="1" colPageCount="1"/>
  <pivotFields>
    <pivotField name="Fecha" axis="axisRow" compact="0" numFmtId="164" outline="0" multipleItemSelectionAllowed="1" showAll="0" sortType="ascending">
      <items>
        <item x="0"/>
        <item x="1"/>
        <item x="2"/>
        <item x="3"/>
        <item x="4"/>
        <item x="5"/>
        <item x="6"/>
        <item x="7"/>
        <item x="8"/>
        <item x="9"/>
        <item x="10"/>
        <item x="11"/>
        <item x="12"/>
        <item x="13"/>
        <item t="default"/>
      </items>
    </pivotField>
    <pivotField name="Trimestre" compact="0" outline="0" multipleItemSelectionAllowed="1" showAll="0">
      <items>
        <item x="0"/>
        <item x="1"/>
        <item x="2"/>
        <item x="3"/>
        <item t="default"/>
      </items>
    </pivotField>
    <pivotField name="Semestre" compact="0" outline="0" multipleItemSelectionAllowed="1" showAll="0">
      <items>
        <item x="0"/>
        <item x="1"/>
        <item t="default"/>
      </items>
    </pivotField>
    <pivotField name="Tipo" axis="axisPage" compact="0" outline="0" multipleItemSelectionAllowed="1" showAll="0">
      <items>
        <item x="0"/>
        <item h="1" x="1"/>
        <item t="default"/>
      </items>
    </pivotField>
    <pivotField name="Categoría" compact="0" outline="0" multipleItemSelectionAllowed="1" showAll="0">
      <items>
        <item x="0"/>
        <item x="1"/>
        <item x="2"/>
        <item x="3"/>
        <item x="4"/>
        <item x="5"/>
        <item x="6"/>
        <item t="default"/>
      </items>
    </pivotField>
    <pivotField name="Sub-categoría" compact="0" outline="0" multipleItemSelectionAllowed="1" showAll="0">
      <items>
        <item x="0"/>
        <item x="1"/>
        <item x="2"/>
        <item x="3"/>
        <item x="4"/>
        <item x="5"/>
        <item x="6"/>
        <item x="7"/>
        <item x="8"/>
        <item x="9"/>
        <item x="10"/>
        <item x="11"/>
        <item x="12"/>
        <item x="13"/>
        <item x="14"/>
        <item x="15"/>
        <item x="16"/>
        <item x="17"/>
        <item t="default"/>
      </items>
    </pivotField>
    <pivotField name="Mon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s>
  <rowFields>
    <field x="0"/>
  </rowFields>
  <pageFields>
    <pageField fld="3"/>
  </pageFields>
  <dataFields>
    <dataField name="SUM of Monto" fld="6" baseField="0"/>
  </dataFields>
</pivotTableDefinition>
</file>

<file path=xl/pivotTables/pivotTable2.xml><?xml version="1.0" encoding="utf-8"?>
<pivotTableDefinition xmlns="http://schemas.openxmlformats.org/spreadsheetml/2006/main" name="Análisis y Panel 2" cacheId="1" dataCaption="" rowGrandTotals="0" colGrandTotals="0" compact="0" compactData="0">
  <location ref="W7:Y20" firstHeaderRow="0" firstDataRow="1" firstDataCol="1"/>
  <pivotFields>
    <pivotField name="Fecha" axis="axisRow" compact="0" numFmtId="164" outline="0" multipleItemSelectionAllowed="1" showAll="0" sortType="ascending">
      <items>
        <item x="0"/>
        <item x="1"/>
        <item x="2"/>
        <item x="3"/>
        <item x="4"/>
        <item x="5"/>
        <item x="6"/>
        <item x="7"/>
        <item x="8"/>
        <item x="9"/>
        <item x="10"/>
        <item x="11"/>
        <item x="12"/>
        <item x="13"/>
        <item t="default"/>
      </items>
    </pivotField>
    <pivotField name="Trimestre" compact="0" outline="0" multipleItemSelectionAllowed="1" showAll="0">
      <items>
        <item x="0"/>
        <item x="1"/>
        <item x="2"/>
        <item x="3"/>
        <item t="default"/>
      </items>
    </pivotField>
    <pivotField name="Semestre" compact="0" outline="0" multipleItemSelectionAllowed="1" showAll="0">
      <items>
        <item x="0"/>
        <item x="1"/>
        <item t="default"/>
      </items>
    </pivotField>
    <pivotField name="Tipo" axis="axisCol" compact="0" outline="0" multipleItemSelectionAllowed="1" showAll="0" sortType="ascending">
      <items>
        <item x="0"/>
        <item x="1"/>
        <item t="default"/>
      </items>
    </pivotField>
    <pivotField name="Categoría" compact="0" outline="0" multipleItemSelectionAllowed="1" showAll="0">
      <items>
        <item x="0"/>
        <item x="1"/>
        <item x="2"/>
        <item x="3"/>
        <item x="4"/>
        <item x="5"/>
        <item x="6"/>
        <item t="default"/>
      </items>
    </pivotField>
    <pivotField name="Sub-categoría" compact="0" outline="0" multipleItemSelectionAllowed="1" showAll="0">
      <items>
        <item x="0"/>
        <item x="1"/>
        <item x="2"/>
        <item x="3"/>
        <item x="4"/>
        <item x="5"/>
        <item x="6"/>
        <item x="7"/>
        <item x="8"/>
        <item x="9"/>
        <item x="10"/>
        <item x="11"/>
        <item x="12"/>
        <item x="13"/>
        <item x="14"/>
        <item x="15"/>
        <item x="16"/>
        <item x="17"/>
        <item t="default"/>
      </items>
    </pivotField>
    <pivotField name="Mon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s>
  <rowFields>
    <field x="0"/>
  </rowFields>
  <colFields>
    <field x="3"/>
  </colFields>
  <dataFields>
    <dataField name="SUM of Monto" fld="6" baseField="0"/>
  </dataFields>
</pivotTableDefinition>
</file>

<file path=xl/pivotTables/pivotTable3.xml><?xml version="1.0" encoding="utf-8"?>
<pivotTableDefinition xmlns="http://schemas.openxmlformats.org/spreadsheetml/2006/main" name="Análisis y Panel 3" cacheId="2" dataCaption="" rowGrandTotals="0" compact="0" compactData="0">
  <location ref="AD9:AE21" firstHeaderRow="0" firstDataRow="1" firstDataCol="0" rowPageCount="1" colPageCount="1"/>
  <pivotFields>
    <pivotField name="Fecha" axis="axisRow" compact="0" numFmtId="164" outline="0" multipleItemSelectionAllowed="1" showAll="0" sortType="ascending">
      <items>
        <item x="0"/>
        <item x="1"/>
        <item x="2"/>
        <item x="3"/>
        <item x="4"/>
        <item x="5"/>
        <item x="6"/>
        <item x="7"/>
        <item x="8"/>
        <item x="9"/>
        <item x="10"/>
        <item x="11"/>
        <item x="12"/>
        <item x="13"/>
        <item t="default"/>
      </items>
    </pivotField>
    <pivotField name="Trimestre" compact="0" outline="0" multipleItemSelectionAllowed="1" showAll="0">
      <items>
        <item x="0"/>
        <item x="1"/>
        <item x="2"/>
        <item x="3"/>
        <item t="default"/>
      </items>
    </pivotField>
    <pivotField name="Semestre" compact="0" outline="0" multipleItemSelectionAllowed="1" showAll="0">
      <items>
        <item x="0"/>
        <item x="1"/>
        <item t="default"/>
      </items>
    </pivotField>
    <pivotField name="Tipo" axis="axisPage" compact="0" outline="0" multipleItemSelectionAllowed="1" showAll="0">
      <items>
        <item h="1" x="0"/>
        <item x="1"/>
        <item t="default"/>
      </items>
    </pivotField>
    <pivotField name="Categoría" compact="0" outline="0" multipleItemSelectionAllowed="1" showAll="0">
      <items>
        <item x="0"/>
        <item x="1"/>
        <item x="2"/>
        <item x="3"/>
        <item x="4"/>
        <item x="5"/>
        <item x="6"/>
        <item t="default"/>
      </items>
    </pivotField>
    <pivotField name="Sub-categoría" compact="0" outline="0" multipleItemSelectionAllowed="1" showAll="0">
      <items>
        <item x="0"/>
        <item x="1"/>
        <item x="2"/>
        <item x="3"/>
        <item x="4"/>
        <item x="5"/>
        <item x="6"/>
        <item x="7"/>
        <item x="8"/>
        <item x="9"/>
        <item x="10"/>
        <item x="11"/>
        <item x="12"/>
        <item x="13"/>
        <item x="14"/>
        <item x="15"/>
        <item x="16"/>
        <item x="17"/>
        <item t="default"/>
      </items>
    </pivotField>
    <pivotField name="Mon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s>
  <rowFields>
    <field x="0"/>
  </rowFields>
  <pageFields>
    <pageField fld="3"/>
  </pageFields>
  <dataFields>
    <dataField name="SUM of Monto" fld="6" baseField="0"/>
  </dataFields>
</pivotTableDefinition>
</file>

<file path=xl/pivotTables/pivotTable4.xml><?xml version="1.0" encoding="utf-8"?>
<pivotTableDefinition xmlns="http://schemas.openxmlformats.org/spreadsheetml/2006/main" name="Análisis y Panel 4" cacheId="3" dataCaption="" rowGrandTotals="0" colGrandTotals="0" compact="0" compactData="0">
  <location ref="AK7:AM20" firstHeaderRow="0" firstDataRow="1" firstDataCol="1"/>
  <pivotFields>
    <pivotField name="Fecha" axis="axisRow" compact="0" numFmtId="164" outline="0" multipleItemSelectionAllowed="1" showAll="0" sortType="ascending">
      <items>
        <item x="0"/>
        <item x="1"/>
        <item x="2"/>
        <item x="3"/>
        <item x="4"/>
        <item x="5"/>
        <item x="6"/>
        <item x="7"/>
        <item x="8"/>
        <item x="9"/>
        <item x="10"/>
        <item x="11"/>
        <item x="12"/>
        <item x="13"/>
        <item t="default"/>
      </items>
    </pivotField>
    <pivotField name="Trimestre" compact="0" outline="0" multipleItemSelectionAllowed="1" showAll="0">
      <items>
        <item x="0"/>
        <item x="1"/>
        <item x="2"/>
        <item x="3"/>
        <item t="default"/>
      </items>
    </pivotField>
    <pivotField name="Semestre" compact="0" outline="0" multipleItemSelectionAllowed="1" showAll="0">
      <items>
        <item x="0"/>
        <item x="1"/>
        <item t="default"/>
      </items>
    </pivotField>
    <pivotField name="Tipo" axis="axisCol" compact="0" outline="0" multipleItemSelectionAllowed="1" showAll="0" sortType="ascending">
      <items>
        <item x="0"/>
        <item x="1"/>
        <item t="default"/>
      </items>
    </pivotField>
    <pivotField name="Categoría" compact="0" outline="0" multipleItemSelectionAllowed="1" showAll="0">
      <items>
        <item x="0"/>
        <item x="1"/>
        <item x="2"/>
        <item x="3"/>
        <item x="4"/>
        <item x="5"/>
        <item x="6"/>
        <item t="default"/>
      </items>
    </pivotField>
    <pivotField name="Sub-categoría" compact="0" outline="0" multipleItemSelectionAllowed="1" showAll="0">
      <items>
        <item x="0"/>
        <item x="1"/>
        <item x="2"/>
        <item x="3"/>
        <item x="4"/>
        <item x="5"/>
        <item x="6"/>
        <item x="7"/>
        <item x="8"/>
        <item x="9"/>
        <item x="10"/>
        <item x="11"/>
        <item x="12"/>
        <item x="13"/>
        <item x="14"/>
        <item x="15"/>
        <item x="16"/>
        <item x="17"/>
        <item t="default"/>
      </items>
    </pivotField>
    <pivotField name="Mon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s>
  <rowFields>
    <field x="0"/>
  </rowFields>
  <colFields>
    <field x="3"/>
  </colFields>
  <dataFields>
    <dataField name="SUM of Monto" fld="6" baseField="0"/>
  </dataFields>
</pivotTableDefinition>
</file>

<file path=xl/pivotTables/pivotTable5.xml><?xml version="1.0" encoding="utf-8"?>
<pivotTableDefinition xmlns="http://schemas.openxmlformats.org/spreadsheetml/2006/main" name="Análisis y Panel 5" cacheId="4" dataCaption="" compact="0" compactData="0">
  <location ref="AU9:AW15" firstHeaderRow="0" firstDataRow="2" firstDataCol="0" rowPageCount="1" colPageCount="1"/>
  <pivotFields>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Trimestre" compact="0" outline="0" multipleItemSelectionAllowed="1" showAll="0">
      <items>
        <item x="0"/>
        <item x="1"/>
        <item x="2"/>
        <item x="3"/>
        <item t="default"/>
      </items>
    </pivotField>
    <pivotField name="Semestre" compact="0" outline="0" multipleItemSelectionAllowed="1" showAll="0">
      <items>
        <item x="0"/>
        <item x="1"/>
        <item t="default"/>
      </items>
    </pivotField>
    <pivotField name="Tipo" axis="axisPage" compact="0" outline="0" multipleItemSelectionAllowed="1" showAll="0">
      <items>
        <item x="0"/>
        <item h="1" x="1"/>
        <item t="default"/>
      </items>
    </pivotField>
    <pivotField name="Categoría"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Sub-categoría" compact="0" outline="0" multipleItemSelectionAllowed="1" showAll="0">
      <items>
        <item x="0"/>
        <item x="1"/>
        <item x="2"/>
        <item x="3"/>
        <item x="4"/>
        <item x="5"/>
        <item x="6"/>
        <item x="7"/>
        <item x="8"/>
        <item x="9"/>
        <item x="10"/>
        <item x="11"/>
        <item x="12"/>
        <item x="13"/>
        <item x="14"/>
        <item x="15"/>
        <item x="16"/>
        <item x="17"/>
        <item t="default"/>
      </items>
    </pivotField>
    <pivotField name="Mon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s>
  <rowFields>
    <field x="4"/>
  </rowFields>
  <colFields>
    <field x="-2"/>
  </colFields>
  <pageFields>
    <pageField fld="3"/>
  </pageFields>
  <dataFields>
    <dataField name="SUM of Monto" fld="6" baseField="0"/>
    <dataField name="SUM of Monto" fld="6" showDataAs="percentOfTotal" baseField="0" numFmtId="10"/>
  </dataFields>
</pivotTableDefinition>
</file>

<file path=xl/pivotTables/pivotTable6.xml><?xml version="1.0" encoding="utf-8"?>
<pivotTableDefinition xmlns="http://schemas.openxmlformats.org/spreadsheetml/2006/main" name="Análisis y Panel 6" cacheId="4" dataCaption="" compact="0" compactData="0">
  <location ref="AY9:AY10" firstHeaderRow="0" firstDataRow="0" firstDataCol="0" rowPageCount="1" colPageCount="1"/>
  <pivotFields>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Trimestre" compact="0" outline="0" multipleItemSelectionAllowed="1" showAll="0">
      <items>
        <item x="0"/>
        <item x="1"/>
        <item x="2"/>
        <item x="3"/>
        <item t="default"/>
      </items>
    </pivotField>
    <pivotField name="Semestre" compact="0" outline="0" multipleItemSelectionAllowed="1" showAll="0">
      <items>
        <item x="0"/>
        <item x="1"/>
        <item t="default"/>
      </items>
    </pivotField>
    <pivotField name="Tipo" axis="axisPage" compact="0" outline="0" multipleItemSelectionAllowed="1" showAll="0">
      <items>
        <item h="1" x="0"/>
        <item x="1"/>
        <item t="default"/>
      </items>
    </pivotField>
    <pivotField name="Categoría" compact="0" outline="0" multipleItemSelectionAllowed="1" showAll="0">
      <items>
        <item x="0"/>
        <item x="1"/>
        <item x="2"/>
        <item x="3"/>
        <item x="4"/>
        <item x="5"/>
        <item x="6"/>
        <item t="default"/>
      </items>
    </pivotField>
    <pivotField name="Sub-categoría" compact="0" outline="0" multipleItemSelectionAllowed="1" showAll="0">
      <items>
        <item x="0"/>
        <item x="1"/>
        <item x="2"/>
        <item x="3"/>
        <item x="4"/>
        <item x="5"/>
        <item x="6"/>
        <item x="7"/>
        <item x="8"/>
        <item x="9"/>
        <item x="10"/>
        <item x="11"/>
        <item x="12"/>
        <item x="13"/>
        <item x="14"/>
        <item x="15"/>
        <item x="16"/>
        <item x="17"/>
        <item t="default"/>
      </items>
    </pivotField>
    <pivotField name="Mon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s>
  <pageFields>
    <pageField fld="3"/>
  </pageFields>
  <dataFields>
    <dataField name="SUM of Monto" fld="6" baseField="0"/>
  </dataFields>
</pivotTableDefinition>
</file>

<file path=xl/pivotTables/pivotTable7.xml><?xml version="1.0" encoding="utf-8"?>
<pivotTableDefinition xmlns="http://schemas.openxmlformats.org/spreadsheetml/2006/main" name="Análisis y Panel 7" cacheId="4" dataCaption="" compact="0" compactData="0">
  <location ref="BB9:BB10" firstHeaderRow="0" firstDataRow="0" firstDataCol="0" rowPageCount="1" colPageCount="1"/>
  <pivotFields>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t="default"/>
      </items>
    </pivotField>
    <pivotField name="Trimestre" compact="0" outline="0" multipleItemSelectionAllowed="1" showAll="0">
      <items>
        <item x="0"/>
        <item x="1"/>
        <item x="2"/>
        <item x="3"/>
        <item t="default"/>
      </items>
    </pivotField>
    <pivotField name="Semestre" compact="0" outline="0" multipleItemSelectionAllowed="1" showAll="0">
      <items>
        <item x="0"/>
        <item x="1"/>
        <item t="default"/>
      </items>
    </pivotField>
    <pivotField name="Tipo" axis="axisPage" compact="0" outline="0" multipleItemSelectionAllowed="1" showAll="0">
      <items>
        <item x="0"/>
        <item h="1" x="1"/>
        <item t="default"/>
      </items>
    </pivotField>
    <pivotField name="Categoría" compact="0" outline="0" multipleItemSelectionAllowed="1" showAll="0">
      <items>
        <item x="0"/>
        <item x="1"/>
        <item x="2"/>
        <item x="3"/>
        <item x="4"/>
        <item x="5"/>
        <item x="6"/>
        <item t="default"/>
      </items>
    </pivotField>
    <pivotField name="Sub-categoría" compact="0" outline="0" multipleItemSelectionAllowed="1" showAll="0">
      <items>
        <item x="0"/>
        <item x="1"/>
        <item x="2"/>
        <item x="3"/>
        <item x="4"/>
        <item x="5"/>
        <item x="6"/>
        <item x="7"/>
        <item x="8"/>
        <item x="9"/>
        <item x="10"/>
        <item x="11"/>
        <item x="12"/>
        <item x="13"/>
        <item x="14"/>
        <item x="15"/>
        <item x="16"/>
        <item x="17"/>
        <item t="default"/>
      </items>
    </pivotField>
    <pivotField name="Mon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s>
  <pageFields>
    <pageField fld="3"/>
  </pageFields>
  <dataFields>
    <dataField name="SUM of Monto"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Trimestre">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Semestre">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rimestre_1" cache="SlicerCache_Table_1_Col_2" caption="Trimestre" rowHeight="247650"/>
  <x14:slicer name="Semestre_2" cache="SlicerCache_Table_1_Col_3" caption="Semestre" rowHeight="247650"/>
</x14:slicers>
</file>

<file path=xl/tables/table1.xml><?xml version="1.0" encoding="utf-8"?>
<table xmlns="http://schemas.openxmlformats.org/spreadsheetml/2006/main" ref="A1:G563" displayName="Ingresos_Gastos" name="Ingresos_Gastos" id="1">
  <autoFilter ref="$A$1:$G$563"/>
  <tableColumns count="7">
    <tableColumn name="Fecha" id="1"/>
    <tableColumn name="Trimestre" id="2"/>
    <tableColumn name="Semestre" id="3"/>
    <tableColumn name="Tipo" id="4"/>
    <tableColumn name="Categoría" id="5"/>
    <tableColumn name="Sub-categoría" id="6"/>
    <tableColumn name="Monto" id="7"/>
  </tableColumns>
  <tableStyleInfo name="Ingresos y Gastos-style" showColumnStripes="0" showFirstColumn="1" showLastColumn="1" showRowStripes="1"/>
</table>
</file>

<file path=xl/tables/table2.xml><?xml version="1.0" encoding="utf-8"?>
<table xmlns="http://schemas.openxmlformats.org/spreadsheetml/2006/main" ref="A1:C13" displayName="Saldo_Ahorro" name="Saldo_Ahorro" id="2">
  <tableColumns count="3">
    <tableColumn name="Mes" id="1"/>
    <tableColumn name="Meta de Ingresos" id="2"/>
    <tableColumn name="Meta de Ahorro" id="3"/>
  </tableColumns>
  <tableStyleInfo name="Meta - Ingresos y Ahorro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microsoft.com/office/2007/relationships/slicer" Target="../slicers/slicer1.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4.0"/>
    <col customWidth="1" min="6" max="6" width="17.13"/>
    <col customWidth="1" min="7" max="7" width="13.63"/>
  </cols>
  <sheetData>
    <row r="1" ht="22.5" customHeight="1">
      <c r="A1" s="1" t="s">
        <v>0</v>
      </c>
      <c r="B1" s="2" t="s">
        <v>1</v>
      </c>
      <c r="C1" s="2" t="s">
        <v>2</v>
      </c>
      <c r="D1" s="1" t="s">
        <v>3</v>
      </c>
      <c r="E1" s="1" t="s">
        <v>4</v>
      </c>
      <c r="F1" s="1" t="s">
        <v>5</v>
      </c>
      <c r="G1" s="1" t="s">
        <v>6</v>
      </c>
    </row>
    <row r="2" ht="22.5" customHeight="1">
      <c r="A2" s="3">
        <v>44927.0</v>
      </c>
      <c r="B2" s="4" t="str">
        <f t="shared" ref="B2:B563" si="1">+CONCATENATE("T",ROUNDUP(MONTH(A2)/3,0))</f>
        <v>T1</v>
      </c>
      <c r="C2" s="4" t="str">
        <f t="shared" ref="C2:C563" si="2">+CONCATENATE("Sem"," ",ROUNDUP(MONTH(A2)/6,0))</f>
        <v>Sem 1</v>
      </c>
      <c r="D2" s="4" t="s">
        <v>7</v>
      </c>
      <c r="E2" s="4" t="s">
        <v>8</v>
      </c>
      <c r="F2" s="4" t="s">
        <v>9</v>
      </c>
      <c r="G2" s="5">
        <v>88.0</v>
      </c>
    </row>
    <row r="3" ht="22.5" customHeight="1">
      <c r="A3" s="3">
        <v>44927.0</v>
      </c>
      <c r="B3" s="4" t="str">
        <f t="shared" si="1"/>
        <v>T1</v>
      </c>
      <c r="C3" s="4" t="str">
        <f t="shared" si="2"/>
        <v>Sem 1</v>
      </c>
      <c r="D3" s="4" t="s">
        <v>7</v>
      </c>
      <c r="E3" s="4" t="s">
        <v>8</v>
      </c>
      <c r="F3" s="4" t="s">
        <v>9</v>
      </c>
      <c r="G3" s="5">
        <v>152.0</v>
      </c>
    </row>
    <row r="4" ht="22.5" customHeight="1">
      <c r="A4" s="3">
        <v>44927.0</v>
      </c>
      <c r="B4" s="4" t="str">
        <f t="shared" si="1"/>
        <v>T1</v>
      </c>
      <c r="C4" s="4" t="str">
        <f t="shared" si="2"/>
        <v>Sem 1</v>
      </c>
      <c r="D4" s="4" t="s">
        <v>7</v>
      </c>
      <c r="E4" s="4" t="s">
        <v>10</v>
      </c>
      <c r="F4" s="4" t="s">
        <v>11</v>
      </c>
      <c r="G4" s="5">
        <v>171.0</v>
      </c>
    </row>
    <row r="5" ht="22.5" customHeight="1">
      <c r="A5" s="3">
        <v>44927.0</v>
      </c>
      <c r="B5" s="4" t="str">
        <f t="shared" si="1"/>
        <v>T1</v>
      </c>
      <c r="C5" s="4" t="str">
        <f t="shared" si="2"/>
        <v>Sem 1</v>
      </c>
      <c r="D5" s="4" t="s">
        <v>7</v>
      </c>
      <c r="E5" s="4" t="s">
        <v>10</v>
      </c>
      <c r="F5" s="4" t="s">
        <v>12</v>
      </c>
      <c r="G5" s="5">
        <v>99.0</v>
      </c>
    </row>
    <row r="6" ht="22.5" customHeight="1">
      <c r="A6" s="3">
        <v>44927.0</v>
      </c>
      <c r="B6" s="4" t="str">
        <f t="shared" si="1"/>
        <v>T1</v>
      </c>
      <c r="C6" s="4" t="str">
        <f t="shared" si="2"/>
        <v>Sem 1</v>
      </c>
      <c r="D6" s="4" t="s">
        <v>7</v>
      </c>
      <c r="E6" s="4" t="s">
        <v>13</v>
      </c>
      <c r="F6" s="4" t="s">
        <v>14</v>
      </c>
      <c r="G6" s="5">
        <v>67.0</v>
      </c>
    </row>
    <row r="7" ht="22.5" customHeight="1">
      <c r="A7" s="3">
        <v>44929.0</v>
      </c>
      <c r="B7" s="4" t="str">
        <f t="shared" si="1"/>
        <v>T1</v>
      </c>
      <c r="C7" s="4" t="str">
        <f t="shared" si="2"/>
        <v>Sem 1</v>
      </c>
      <c r="D7" s="4" t="s">
        <v>7</v>
      </c>
      <c r="E7" s="4" t="s">
        <v>15</v>
      </c>
      <c r="F7" s="4" t="s">
        <v>16</v>
      </c>
      <c r="G7" s="5">
        <v>20.0</v>
      </c>
    </row>
    <row r="8" ht="22.5" customHeight="1">
      <c r="A8" s="3">
        <v>44929.0</v>
      </c>
      <c r="B8" s="4" t="str">
        <f t="shared" si="1"/>
        <v>T1</v>
      </c>
      <c r="C8" s="4" t="str">
        <f t="shared" si="2"/>
        <v>Sem 1</v>
      </c>
      <c r="D8" s="4" t="s">
        <v>7</v>
      </c>
      <c r="E8" s="4" t="s">
        <v>13</v>
      </c>
      <c r="F8" s="4" t="s">
        <v>17</v>
      </c>
      <c r="G8" s="5">
        <v>20.0</v>
      </c>
    </row>
    <row r="9" ht="22.5" customHeight="1">
      <c r="A9" s="3">
        <v>44930.0</v>
      </c>
      <c r="B9" s="4" t="str">
        <f t="shared" si="1"/>
        <v>T1</v>
      </c>
      <c r="C9" s="4" t="str">
        <f t="shared" si="2"/>
        <v>Sem 1</v>
      </c>
      <c r="D9" s="4" t="s">
        <v>7</v>
      </c>
      <c r="E9" s="4" t="s">
        <v>13</v>
      </c>
      <c r="F9" s="4" t="s">
        <v>18</v>
      </c>
      <c r="G9" s="5">
        <v>26.0</v>
      </c>
    </row>
    <row r="10" ht="22.5" customHeight="1">
      <c r="A10" s="3">
        <v>44930.0</v>
      </c>
      <c r="B10" s="4" t="str">
        <f t="shared" si="1"/>
        <v>T1</v>
      </c>
      <c r="C10" s="4" t="str">
        <f t="shared" si="2"/>
        <v>Sem 1</v>
      </c>
      <c r="D10" s="4" t="s">
        <v>7</v>
      </c>
      <c r="E10" s="4" t="s">
        <v>13</v>
      </c>
      <c r="F10" s="4" t="s">
        <v>14</v>
      </c>
      <c r="G10" s="5">
        <v>31.0</v>
      </c>
    </row>
    <row r="11" ht="22.5" customHeight="1">
      <c r="A11" s="3">
        <v>44931.0</v>
      </c>
      <c r="B11" s="4" t="str">
        <f t="shared" si="1"/>
        <v>T1</v>
      </c>
      <c r="C11" s="4" t="str">
        <f t="shared" si="2"/>
        <v>Sem 1</v>
      </c>
      <c r="D11" s="4" t="s">
        <v>7</v>
      </c>
      <c r="E11" s="4" t="s">
        <v>19</v>
      </c>
      <c r="F11" s="4" t="s">
        <v>20</v>
      </c>
      <c r="G11" s="5">
        <v>52.0</v>
      </c>
    </row>
    <row r="12" ht="22.5" customHeight="1">
      <c r="A12" s="3">
        <v>44931.0</v>
      </c>
      <c r="B12" s="4" t="str">
        <f t="shared" si="1"/>
        <v>T1</v>
      </c>
      <c r="C12" s="4" t="str">
        <f t="shared" si="2"/>
        <v>Sem 1</v>
      </c>
      <c r="D12" s="4" t="s">
        <v>7</v>
      </c>
      <c r="E12" s="4" t="s">
        <v>8</v>
      </c>
      <c r="F12" s="4" t="s">
        <v>9</v>
      </c>
      <c r="G12" s="5">
        <v>37.0</v>
      </c>
    </row>
    <row r="13" ht="22.5" customHeight="1">
      <c r="A13" s="3">
        <v>44933.0</v>
      </c>
      <c r="B13" s="4" t="str">
        <f t="shared" si="1"/>
        <v>T1</v>
      </c>
      <c r="C13" s="4" t="str">
        <f t="shared" si="2"/>
        <v>Sem 1</v>
      </c>
      <c r="D13" s="4" t="s">
        <v>7</v>
      </c>
      <c r="E13" s="4" t="s">
        <v>10</v>
      </c>
      <c r="F13" s="4" t="s">
        <v>11</v>
      </c>
      <c r="G13" s="5">
        <v>125.0</v>
      </c>
    </row>
    <row r="14" ht="22.5" customHeight="1">
      <c r="A14" s="3">
        <v>44933.0</v>
      </c>
      <c r="B14" s="4" t="str">
        <f t="shared" si="1"/>
        <v>T1</v>
      </c>
      <c r="C14" s="4" t="str">
        <f t="shared" si="2"/>
        <v>Sem 1</v>
      </c>
      <c r="D14" s="4" t="s">
        <v>7</v>
      </c>
      <c r="E14" s="4" t="s">
        <v>10</v>
      </c>
      <c r="F14" s="4" t="s">
        <v>12</v>
      </c>
      <c r="G14" s="5">
        <v>75.0</v>
      </c>
    </row>
    <row r="15" ht="22.5" customHeight="1">
      <c r="A15" s="3">
        <v>44934.0</v>
      </c>
      <c r="B15" s="4" t="str">
        <f t="shared" si="1"/>
        <v>T1</v>
      </c>
      <c r="C15" s="4" t="str">
        <f t="shared" si="2"/>
        <v>Sem 1</v>
      </c>
      <c r="D15" s="4" t="s">
        <v>7</v>
      </c>
      <c r="E15" s="4" t="s">
        <v>13</v>
      </c>
      <c r="F15" s="4" t="s">
        <v>14</v>
      </c>
      <c r="G15" s="5">
        <v>88.0</v>
      </c>
    </row>
    <row r="16" ht="22.5" customHeight="1">
      <c r="A16" s="3">
        <v>44935.0</v>
      </c>
      <c r="B16" s="4" t="str">
        <f t="shared" si="1"/>
        <v>T1</v>
      </c>
      <c r="C16" s="4" t="str">
        <f t="shared" si="2"/>
        <v>Sem 1</v>
      </c>
      <c r="D16" s="4" t="s">
        <v>7</v>
      </c>
      <c r="E16" s="4" t="s">
        <v>15</v>
      </c>
      <c r="F16" s="4" t="s">
        <v>16</v>
      </c>
      <c r="G16" s="5">
        <v>100.0</v>
      </c>
    </row>
    <row r="17" ht="22.5" customHeight="1">
      <c r="A17" s="3">
        <v>44936.0</v>
      </c>
      <c r="B17" s="4" t="str">
        <f t="shared" si="1"/>
        <v>T1</v>
      </c>
      <c r="C17" s="4" t="str">
        <f t="shared" si="2"/>
        <v>Sem 1</v>
      </c>
      <c r="D17" s="4" t="s">
        <v>7</v>
      </c>
      <c r="E17" s="4" t="s">
        <v>13</v>
      </c>
      <c r="F17" s="4" t="s">
        <v>17</v>
      </c>
      <c r="G17" s="5">
        <v>49.0</v>
      </c>
    </row>
    <row r="18" ht="22.5" customHeight="1">
      <c r="A18" s="3">
        <v>44936.0</v>
      </c>
      <c r="B18" s="4" t="str">
        <f t="shared" si="1"/>
        <v>T1</v>
      </c>
      <c r="C18" s="4" t="str">
        <f t="shared" si="2"/>
        <v>Sem 1</v>
      </c>
      <c r="D18" s="4" t="s">
        <v>7</v>
      </c>
      <c r="E18" s="4" t="s">
        <v>13</v>
      </c>
      <c r="F18" s="4" t="s">
        <v>18</v>
      </c>
      <c r="G18" s="5">
        <v>30.0</v>
      </c>
    </row>
    <row r="19" ht="22.5" customHeight="1">
      <c r="A19" s="3">
        <v>44937.0</v>
      </c>
      <c r="B19" s="4" t="str">
        <f t="shared" si="1"/>
        <v>T1</v>
      </c>
      <c r="C19" s="4" t="str">
        <f t="shared" si="2"/>
        <v>Sem 1</v>
      </c>
      <c r="D19" s="4" t="s">
        <v>7</v>
      </c>
      <c r="E19" s="4" t="s">
        <v>13</v>
      </c>
      <c r="F19" s="4" t="s">
        <v>14</v>
      </c>
      <c r="G19" s="5">
        <v>102.0</v>
      </c>
    </row>
    <row r="20" ht="22.5" customHeight="1">
      <c r="A20" s="3">
        <v>44937.0</v>
      </c>
      <c r="B20" s="4" t="str">
        <f t="shared" si="1"/>
        <v>T1</v>
      </c>
      <c r="C20" s="4" t="str">
        <f t="shared" si="2"/>
        <v>Sem 1</v>
      </c>
      <c r="D20" s="4" t="s">
        <v>7</v>
      </c>
      <c r="E20" s="4" t="s">
        <v>8</v>
      </c>
      <c r="F20" s="4" t="s">
        <v>9</v>
      </c>
      <c r="G20" s="5">
        <v>111.0</v>
      </c>
    </row>
    <row r="21" ht="22.5" customHeight="1">
      <c r="A21" s="3">
        <v>44939.0</v>
      </c>
      <c r="B21" s="4" t="str">
        <f t="shared" si="1"/>
        <v>T1</v>
      </c>
      <c r="C21" s="4" t="str">
        <f t="shared" si="2"/>
        <v>Sem 1</v>
      </c>
      <c r="D21" s="4" t="s">
        <v>7</v>
      </c>
      <c r="E21" s="4" t="s">
        <v>8</v>
      </c>
      <c r="F21" s="4" t="s">
        <v>9</v>
      </c>
      <c r="G21" s="5">
        <v>40.0</v>
      </c>
    </row>
    <row r="22" ht="22.5" customHeight="1">
      <c r="A22" s="3">
        <v>44940.0</v>
      </c>
      <c r="B22" s="4" t="str">
        <f t="shared" si="1"/>
        <v>T1</v>
      </c>
      <c r="C22" s="4" t="str">
        <f t="shared" si="2"/>
        <v>Sem 1</v>
      </c>
      <c r="D22" s="4" t="s">
        <v>7</v>
      </c>
      <c r="E22" s="4" t="s">
        <v>10</v>
      </c>
      <c r="F22" s="4" t="s">
        <v>11</v>
      </c>
      <c r="G22" s="5">
        <v>95.0</v>
      </c>
    </row>
    <row r="23" ht="22.5" customHeight="1">
      <c r="A23" s="3">
        <v>44940.0</v>
      </c>
      <c r="B23" s="4" t="str">
        <f t="shared" si="1"/>
        <v>T1</v>
      </c>
      <c r="C23" s="4" t="str">
        <f t="shared" si="2"/>
        <v>Sem 1</v>
      </c>
      <c r="D23" s="4" t="s">
        <v>7</v>
      </c>
      <c r="E23" s="4" t="s">
        <v>10</v>
      </c>
      <c r="F23" s="4" t="s">
        <v>12</v>
      </c>
      <c r="G23" s="5">
        <v>110.0</v>
      </c>
    </row>
    <row r="24" ht="22.5" customHeight="1">
      <c r="A24" s="3">
        <v>44941.0</v>
      </c>
      <c r="B24" s="4" t="str">
        <f t="shared" si="1"/>
        <v>T1</v>
      </c>
      <c r="C24" s="4" t="str">
        <f t="shared" si="2"/>
        <v>Sem 1</v>
      </c>
      <c r="D24" s="4" t="s">
        <v>7</v>
      </c>
      <c r="E24" s="4" t="s">
        <v>13</v>
      </c>
      <c r="F24" s="4" t="s">
        <v>14</v>
      </c>
      <c r="G24" s="5">
        <v>143.0</v>
      </c>
    </row>
    <row r="25" ht="22.5" customHeight="1">
      <c r="A25" s="3">
        <v>44942.0</v>
      </c>
      <c r="B25" s="4" t="str">
        <f t="shared" si="1"/>
        <v>T1</v>
      </c>
      <c r="C25" s="4" t="str">
        <f t="shared" si="2"/>
        <v>Sem 1</v>
      </c>
      <c r="D25" s="4" t="s">
        <v>7</v>
      </c>
      <c r="E25" s="4" t="s">
        <v>15</v>
      </c>
      <c r="F25" s="4" t="s">
        <v>16</v>
      </c>
      <c r="G25" s="5">
        <v>163.0</v>
      </c>
    </row>
    <row r="26" ht="22.5" customHeight="1">
      <c r="A26" s="3">
        <v>44943.0</v>
      </c>
      <c r="B26" s="4" t="str">
        <f t="shared" si="1"/>
        <v>T1</v>
      </c>
      <c r="C26" s="4" t="str">
        <f t="shared" si="2"/>
        <v>Sem 1</v>
      </c>
      <c r="D26" s="4" t="s">
        <v>7</v>
      </c>
      <c r="E26" s="4" t="s">
        <v>13</v>
      </c>
      <c r="F26" s="4" t="s">
        <v>17</v>
      </c>
      <c r="G26" s="5">
        <v>178.0</v>
      </c>
    </row>
    <row r="27" ht="22.5" customHeight="1">
      <c r="A27" s="3">
        <v>44943.0</v>
      </c>
      <c r="B27" s="4" t="str">
        <f t="shared" si="1"/>
        <v>T1</v>
      </c>
      <c r="C27" s="4" t="str">
        <f t="shared" si="2"/>
        <v>Sem 1</v>
      </c>
      <c r="D27" s="4" t="s">
        <v>7</v>
      </c>
      <c r="E27" s="4" t="s">
        <v>13</v>
      </c>
      <c r="F27" s="4" t="s">
        <v>18</v>
      </c>
      <c r="G27" s="5">
        <v>25.0</v>
      </c>
    </row>
    <row r="28" ht="22.5" customHeight="1">
      <c r="A28" s="3">
        <v>44944.0</v>
      </c>
      <c r="B28" s="4" t="str">
        <f t="shared" si="1"/>
        <v>T1</v>
      </c>
      <c r="C28" s="4" t="str">
        <f t="shared" si="2"/>
        <v>Sem 1</v>
      </c>
      <c r="D28" s="4" t="s">
        <v>7</v>
      </c>
      <c r="E28" s="4" t="s">
        <v>13</v>
      </c>
      <c r="F28" s="4" t="s">
        <v>14</v>
      </c>
      <c r="G28" s="5">
        <v>106.0</v>
      </c>
    </row>
    <row r="29" ht="22.5" customHeight="1">
      <c r="A29" s="3">
        <v>44945.0</v>
      </c>
      <c r="B29" s="4" t="str">
        <f t="shared" si="1"/>
        <v>T1</v>
      </c>
      <c r="C29" s="4" t="str">
        <f t="shared" si="2"/>
        <v>Sem 1</v>
      </c>
      <c r="D29" s="4" t="s">
        <v>7</v>
      </c>
      <c r="E29" s="4" t="s">
        <v>8</v>
      </c>
      <c r="F29" s="4" t="s">
        <v>9</v>
      </c>
      <c r="G29" s="5">
        <v>225.0</v>
      </c>
    </row>
    <row r="30" ht="22.5" customHeight="1">
      <c r="A30" s="3">
        <v>44946.0</v>
      </c>
      <c r="B30" s="4" t="str">
        <f t="shared" si="1"/>
        <v>T1</v>
      </c>
      <c r="C30" s="4" t="str">
        <f t="shared" si="2"/>
        <v>Sem 1</v>
      </c>
      <c r="D30" s="4" t="s">
        <v>7</v>
      </c>
      <c r="E30" s="4" t="s">
        <v>8</v>
      </c>
      <c r="F30" s="4" t="s">
        <v>9</v>
      </c>
      <c r="G30" s="5">
        <v>196.0</v>
      </c>
    </row>
    <row r="31" ht="22.5" customHeight="1">
      <c r="A31" s="3">
        <v>44946.0</v>
      </c>
      <c r="B31" s="4" t="str">
        <f t="shared" si="1"/>
        <v>T1</v>
      </c>
      <c r="C31" s="4" t="str">
        <f t="shared" si="2"/>
        <v>Sem 1</v>
      </c>
      <c r="D31" s="4" t="s">
        <v>7</v>
      </c>
      <c r="E31" s="4" t="s">
        <v>10</v>
      </c>
      <c r="F31" s="4" t="s">
        <v>11</v>
      </c>
      <c r="G31" s="5">
        <v>91.0</v>
      </c>
    </row>
    <row r="32" ht="22.5" customHeight="1">
      <c r="A32" s="3">
        <v>44946.0</v>
      </c>
      <c r="B32" s="4" t="str">
        <f t="shared" si="1"/>
        <v>T1</v>
      </c>
      <c r="C32" s="4" t="str">
        <f t="shared" si="2"/>
        <v>Sem 1</v>
      </c>
      <c r="D32" s="4" t="s">
        <v>7</v>
      </c>
      <c r="E32" s="4" t="s">
        <v>10</v>
      </c>
      <c r="F32" s="4" t="s">
        <v>12</v>
      </c>
      <c r="G32" s="5">
        <v>72.0</v>
      </c>
    </row>
    <row r="33" ht="22.5" customHeight="1">
      <c r="A33" s="3">
        <v>44947.0</v>
      </c>
      <c r="B33" s="4" t="str">
        <f t="shared" si="1"/>
        <v>T1</v>
      </c>
      <c r="C33" s="4" t="str">
        <f t="shared" si="2"/>
        <v>Sem 1</v>
      </c>
      <c r="D33" s="4" t="s">
        <v>7</v>
      </c>
      <c r="E33" s="4" t="s">
        <v>13</v>
      </c>
      <c r="F33" s="4" t="s">
        <v>14</v>
      </c>
      <c r="G33" s="5">
        <v>120.0</v>
      </c>
    </row>
    <row r="34" ht="22.5" customHeight="1">
      <c r="A34" s="3">
        <v>44947.0</v>
      </c>
      <c r="B34" s="4" t="str">
        <f t="shared" si="1"/>
        <v>T1</v>
      </c>
      <c r="C34" s="4" t="str">
        <f t="shared" si="2"/>
        <v>Sem 1</v>
      </c>
      <c r="D34" s="4" t="s">
        <v>7</v>
      </c>
      <c r="E34" s="4" t="s">
        <v>15</v>
      </c>
      <c r="F34" s="4" t="s">
        <v>16</v>
      </c>
      <c r="G34" s="5">
        <v>110.0</v>
      </c>
    </row>
    <row r="35" ht="22.5" customHeight="1">
      <c r="A35" s="3">
        <v>44948.0</v>
      </c>
      <c r="B35" s="4" t="str">
        <f t="shared" si="1"/>
        <v>T1</v>
      </c>
      <c r="C35" s="4" t="str">
        <f t="shared" si="2"/>
        <v>Sem 1</v>
      </c>
      <c r="D35" s="4" t="s">
        <v>7</v>
      </c>
      <c r="E35" s="4" t="s">
        <v>13</v>
      </c>
      <c r="F35" s="4" t="s">
        <v>17</v>
      </c>
      <c r="G35" s="5">
        <v>156.0</v>
      </c>
    </row>
    <row r="36" ht="22.5" customHeight="1">
      <c r="A36" s="3">
        <v>44949.0</v>
      </c>
      <c r="B36" s="4" t="str">
        <f t="shared" si="1"/>
        <v>T1</v>
      </c>
      <c r="C36" s="4" t="str">
        <f t="shared" si="2"/>
        <v>Sem 1</v>
      </c>
      <c r="D36" s="4" t="s">
        <v>7</v>
      </c>
      <c r="E36" s="4" t="s">
        <v>13</v>
      </c>
      <c r="F36" s="4" t="s">
        <v>18</v>
      </c>
      <c r="G36" s="5">
        <v>24.0</v>
      </c>
    </row>
    <row r="37" ht="22.5" customHeight="1">
      <c r="A37" s="3">
        <v>44950.0</v>
      </c>
      <c r="B37" s="4" t="str">
        <f t="shared" si="1"/>
        <v>T1</v>
      </c>
      <c r="C37" s="4" t="str">
        <f t="shared" si="2"/>
        <v>Sem 1</v>
      </c>
      <c r="D37" s="4" t="s">
        <v>7</v>
      </c>
      <c r="E37" s="4" t="s">
        <v>13</v>
      </c>
      <c r="F37" s="4" t="s">
        <v>14</v>
      </c>
      <c r="G37" s="5">
        <v>195.0</v>
      </c>
    </row>
    <row r="38" ht="22.5" customHeight="1">
      <c r="A38" s="3">
        <v>44950.0</v>
      </c>
      <c r="B38" s="4" t="str">
        <f t="shared" si="1"/>
        <v>T1</v>
      </c>
      <c r="C38" s="4" t="str">
        <f t="shared" si="2"/>
        <v>Sem 1</v>
      </c>
      <c r="D38" s="4" t="s">
        <v>7</v>
      </c>
      <c r="E38" s="4" t="s">
        <v>8</v>
      </c>
      <c r="F38" s="4" t="s">
        <v>9</v>
      </c>
      <c r="G38" s="5">
        <v>26.0</v>
      </c>
    </row>
    <row r="39" ht="22.5" customHeight="1">
      <c r="A39" s="3">
        <v>44950.0</v>
      </c>
      <c r="B39" s="4" t="str">
        <f t="shared" si="1"/>
        <v>T1</v>
      </c>
      <c r="C39" s="4" t="str">
        <f t="shared" si="2"/>
        <v>Sem 1</v>
      </c>
      <c r="D39" s="4" t="s">
        <v>7</v>
      </c>
      <c r="E39" s="4" t="s">
        <v>8</v>
      </c>
      <c r="F39" s="4" t="s">
        <v>9</v>
      </c>
      <c r="G39" s="5">
        <v>138.0</v>
      </c>
    </row>
    <row r="40" ht="22.5" customHeight="1">
      <c r="A40" s="3">
        <v>44952.0</v>
      </c>
      <c r="B40" s="4" t="str">
        <f t="shared" si="1"/>
        <v>T1</v>
      </c>
      <c r="C40" s="4" t="str">
        <f t="shared" si="2"/>
        <v>Sem 1</v>
      </c>
      <c r="D40" s="4" t="s">
        <v>7</v>
      </c>
      <c r="E40" s="4" t="s">
        <v>10</v>
      </c>
      <c r="F40" s="4" t="s">
        <v>11</v>
      </c>
      <c r="G40" s="5">
        <v>139.0</v>
      </c>
    </row>
    <row r="41" ht="22.5" customHeight="1">
      <c r="A41" s="3">
        <v>44953.0</v>
      </c>
      <c r="B41" s="4" t="str">
        <f t="shared" si="1"/>
        <v>T1</v>
      </c>
      <c r="C41" s="4" t="str">
        <f t="shared" si="2"/>
        <v>Sem 1</v>
      </c>
      <c r="D41" s="4" t="s">
        <v>7</v>
      </c>
      <c r="E41" s="4" t="s">
        <v>10</v>
      </c>
      <c r="F41" s="4" t="s">
        <v>12</v>
      </c>
      <c r="G41" s="5">
        <v>25.0</v>
      </c>
    </row>
    <row r="42" ht="22.5" customHeight="1">
      <c r="A42" s="3">
        <v>44954.0</v>
      </c>
      <c r="B42" s="4" t="str">
        <f t="shared" si="1"/>
        <v>T1</v>
      </c>
      <c r="C42" s="4" t="str">
        <f t="shared" si="2"/>
        <v>Sem 1</v>
      </c>
      <c r="D42" s="4" t="s">
        <v>21</v>
      </c>
      <c r="E42" s="4" t="s">
        <v>22</v>
      </c>
      <c r="F42" s="4" t="s">
        <v>23</v>
      </c>
      <c r="G42" s="5">
        <v>3000.0</v>
      </c>
    </row>
    <row r="43" ht="22.5" customHeight="1">
      <c r="A43" s="3">
        <v>44954.0</v>
      </c>
      <c r="B43" s="4" t="str">
        <f t="shared" si="1"/>
        <v>T1</v>
      </c>
      <c r="C43" s="4" t="str">
        <f t="shared" si="2"/>
        <v>Sem 1</v>
      </c>
      <c r="D43" s="4" t="s">
        <v>21</v>
      </c>
      <c r="E43" s="4" t="s">
        <v>24</v>
      </c>
      <c r="F43" s="4" t="s">
        <v>25</v>
      </c>
      <c r="G43" s="5">
        <v>1500.0</v>
      </c>
    </row>
    <row r="44" ht="22.5" customHeight="1">
      <c r="A44" s="3">
        <v>44955.0</v>
      </c>
      <c r="B44" s="4" t="str">
        <f t="shared" si="1"/>
        <v>T1</v>
      </c>
      <c r="C44" s="4" t="str">
        <f t="shared" si="2"/>
        <v>Sem 1</v>
      </c>
      <c r="D44" s="4" t="s">
        <v>7</v>
      </c>
      <c r="E44" s="4" t="s">
        <v>8</v>
      </c>
      <c r="F44" s="4" t="s">
        <v>26</v>
      </c>
      <c r="G44" s="5">
        <v>174.0</v>
      </c>
    </row>
    <row r="45" ht="22.5" customHeight="1">
      <c r="A45" s="3">
        <v>44955.0</v>
      </c>
      <c r="B45" s="4" t="str">
        <f t="shared" si="1"/>
        <v>T1</v>
      </c>
      <c r="C45" s="4" t="str">
        <f t="shared" si="2"/>
        <v>Sem 1</v>
      </c>
      <c r="D45" s="4" t="s">
        <v>7</v>
      </c>
      <c r="E45" s="4" t="s">
        <v>8</v>
      </c>
      <c r="F45" s="4" t="s">
        <v>27</v>
      </c>
      <c r="G45" s="5">
        <v>150.0</v>
      </c>
    </row>
    <row r="46" ht="22.5" customHeight="1">
      <c r="A46" s="3">
        <v>44956.0</v>
      </c>
      <c r="B46" s="4" t="str">
        <f t="shared" si="1"/>
        <v>T1</v>
      </c>
      <c r="C46" s="4" t="str">
        <f t="shared" si="2"/>
        <v>Sem 1</v>
      </c>
      <c r="D46" s="4" t="s">
        <v>7</v>
      </c>
      <c r="E46" s="4" t="s">
        <v>8</v>
      </c>
      <c r="F46" s="4" t="s">
        <v>9</v>
      </c>
      <c r="G46" s="5">
        <v>72.0</v>
      </c>
    </row>
    <row r="47" ht="22.5" customHeight="1">
      <c r="A47" s="3">
        <v>44956.0</v>
      </c>
      <c r="B47" s="4" t="str">
        <f t="shared" si="1"/>
        <v>T1</v>
      </c>
      <c r="C47" s="4" t="str">
        <f t="shared" si="2"/>
        <v>Sem 1</v>
      </c>
      <c r="D47" s="4" t="s">
        <v>7</v>
      </c>
      <c r="E47" s="4" t="s">
        <v>8</v>
      </c>
      <c r="F47" s="4" t="s">
        <v>28</v>
      </c>
      <c r="G47" s="5">
        <v>80.0</v>
      </c>
    </row>
    <row r="48" ht="22.5" customHeight="1">
      <c r="A48" s="3">
        <v>44957.0</v>
      </c>
      <c r="B48" s="4" t="str">
        <f t="shared" si="1"/>
        <v>T1</v>
      </c>
      <c r="C48" s="4" t="str">
        <f t="shared" si="2"/>
        <v>Sem 1</v>
      </c>
      <c r="D48" s="4" t="s">
        <v>7</v>
      </c>
      <c r="E48" s="4" t="s">
        <v>8</v>
      </c>
      <c r="F48" s="4" t="s">
        <v>28</v>
      </c>
      <c r="G48" s="5">
        <v>80.0</v>
      </c>
    </row>
    <row r="49" ht="22.5" customHeight="1">
      <c r="A49" s="3">
        <v>44957.0</v>
      </c>
      <c r="B49" s="4" t="str">
        <f t="shared" si="1"/>
        <v>T1</v>
      </c>
      <c r="C49" s="4" t="str">
        <f t="shared" si="2"/>
        <v>Sem 1</v>
      </c>
      <c r="D49" s="4" t="s">
        <v>7</v>
      </c>
      <c r="E49" s="4" t="s">
        <v>8</v>
      </c>
      <c r="F49" s="4" t="s">
        <v>29</v>
      </c>
      <c r="G49" s="5">
        <v>20.0</v>
      </c>
    </row>
    <row r="50" ht="22.5" customHeight="1">
      <c r="A50" s="3">
        <v>44957.0</v>
      </c>
      <c r="B50" s="4" t="str">
        <f t="shared" si="1"/>
        <v>T1</v>
      </c>
      <c r="C50" s="4" t="str">
        <f t="shared" si="2"/>
        <v>Sem 1</v>
      </c>
      <c r="D50" s="4" t="s">
        <v>7</v>
      </c>
      <c r="E50" s="4" t="s">
        <v>8</v>
      </c>
      <c r="F50" s="4" t="s">
        <v>30</v>
      </c>
      <c r="G50" s="5">
        <v>149.0</v>
      </c>
    </row>
    <row r="51" ht="22.5" customHeight="1">
      <c r="A51" s="3">
        <v>44957.0</v>
      </c>
      <c r="B51" s="4" t="str">
        <f t="shared" si="1"/>
        <v>T1</v>
      </c>
      <c r="C51" s="4" t="str">
        <f t="shared" si="2"/>
        <v>Sem 1</v>
      </c>
      <c r="D51" s="4" t="s">
        <v>7</v>
      </c>
      <c r="E51" s="4" t="s">
        <v>13</v>
      </c>
      <c r="F51" s="4" t="s">
        <v>31</v>
      </c>
      <c r="G51" s="5">
        <v>60.0</v>
      </c>
    </row>
    <row r="52" ht="22.5" customHeight="1">
      <c r="A52" s="3">
        <v>44957.0</v>
      </c>
      <c r="B52" s="4" t="str">
        <f t="shared" si="1"/>
        <v>T1</v>
      </c>
      <c r="C52" s="4" t="str">
        <f t="shared" si="2"/>
        <v>Sem 1</v>
      </c>
      <c r="D52" s="4" t="s">
        <v>7</v>
      </c>
      <c r="E52" s="4" t="s">
        <v>15</v>
      </c>
      <c r="F52" s="4" t="s">
        <v>32</v>
      </c>
      <c r="G52" s="5">
        <v>50.0</v>
      </c>
    </row>
    <row r="53" ht="22.5" customHeight="1">
      <c r="A53" s="3">
        <v>44958.0</v>
      </c>
      <c r="B53" s="4" t="str">
        <f t="shared" si="1"/>
        <v>T1</v>
      </c>
      <c r="C53" s="4" t="str">
        <f t="shared" si="2"/>
        <v>Sem 1</v>
      </c>
      <c r="D53" s="4" t="s">
        <v>7</v>
      </c>
      <c r="E53" s="4" t="s">
        <v>13</v>
      </c>
      <c r="F53" s="4" t="s">
        <v>17</v>
      </c>
      <c r="G53" s="5">
        <v>198.0</v>
      </c>
    </row>
    <row r="54" ht="22.5" customHeight="1">
      <c r="A54" s="3">
        <v>44958.0</v>
      </c>
      <c r="B54" s="4" t="str">
        <f t="shared" si="1"/>
        <v>T1</v>
      </c>
      <c r="C54" s="4" t="str">
        <f t="shared" si="2"/>
        <v>Sem 1</v>
      </c>
      <c r="D54" s="4" t="s">
        <v>7</v>
      </c>
      <c r="E54" s="4" t="s">
        <v>13</v>
      </c>
      <c r="F54" s="4" t="s">
        <v>18</v>
      </c>
      <c r="G54" s="5">
        <v>13.0</v>
      </c>
    </row>
    <row r="55" ht="22.5" customHeight="1">
      <c r="A55" s="3">
        <v>44960.0</v>
      </c>
      <c r="B55" s="4" t="str">
        <f t="shared" si="1"/>
        <v>T1</v>
      </c>
      <c r="C55" s="4" t="str">
        <f t="shared" si="2"/>
        <v>Sem 1</v>
      </c>
      <c r="D55" s="4" t="s">
        <v>7</v>
      </c>
      <c r="E55" s="4" t="s">
        <v>13</v>
      </c>
      <c r="F55" s="4" t="s">
        <v>14</v>
      </c>
      <c r="G55" s="5">
        <v>160.0</v>
      </c>
    </row>
    <row r="56" ht="22.5" customHeight="1">
      <c r="A56" s="3">
        <v>44960.0</v>
      </c>
      <c r="B56" s="4" t="str">
        <f t="shared" si="1"/>
        <v>T1</v>
      </c>
      <c r="C56" s="4" t="str">
        <f t="shared" si="2"/>
        <v>Sem 1</v>
      </c>
      <c r="D56" s="4" t="s">
        <v>7</v>
      </c>
      <c r="E56" s="4" t="s">
        <v>19</v>
      </c>
      <c r="F56" s="4" t="s">
        <v>20</v>
      </c>
      <c r="G56" s="5">
        <v>63.0</v>
      </c>
    </row>
    <row r="57" ht="22.5" customHeight="1">
      <c r="A57" s="3">
        <v>44962.0</v>
      </c>
      <c r="B57" s="4" t="str">
        <f t="shared" si="1"/>
        <v>T1</v>
      </c>
      <c r="C57" s="4" t="str">
        <f t="shared" si="2"/>
        <v>Sem 1</v>
      </c>
      <c r="D57" s="4" t="s">
        <v>7</v>
      </c>
      <c r="E57" s="4" t="s">
        <v>8</v>
      </c>
      <c r="F57" s="4" t="s">
        <v>9</v>
      </c>
      <c r="G57" s="5">
        <v>541.0</v>
      </c>
    </row>
    <row r="58" ht="22.5" customHeight="1">
      <c r="A58" s="3">
        <v>44962.0</v>
      </c>
      <c r="B58" s="4" t="str">
        <f t="shared" si="1"/>
        <v>T1</v>
      </c>
      <c r="C58" s="4" t="str">
        <f t="shared" si="2"/>
        <v>Sem 1</v>
      </c>
      <c r="D58" s="4" t="s">
        <v>7</v>
      </c>
      <c r="E58" s="4" t="s">
        <v>10</v>
      </c>
      <c r="F58" s="4" t="s">
        <v>11</v>
      </c>
      <c r="G58" s="5">
        <v>97.0</v>
      </c>
    </row>
    <row r="59" ht="22.5" customHeight="1">
      <c r="A59" s="3">
        <v>44963.0</v>
      </c>
      <c r="B59" s="4" t="str">
        <f t="shared" si="1"/>
        <v>T1</v>
      </c>
      <c r="C59" s="4" t="str">
        <f t="shared" si="2"/>
        <v>Sem 1</v>
      </c>
      <c r="D59" s="4" t="s">
        <v>7</v>
      </c>
      <c r="E59" s="4" t="s">
        <v>10</v>
      </c>
      <c r="F59" s="4" t="s">
        <v>12</v>
      </c>
      <c r="G59" s="5">
        <v>28.0</v>
      </c>
    </row>
    <row r="60" ht="22.5" customHeight="1">
      <c r="A60" s="3">
        <v>44965.0</v>
      </c>
      <c r="B60" s="4" t="str">
        <f t="shared" si="1"/>
        <v>T1</v>
      </c>
      <c r="C60" s="4" t="str">
        <f t="shared" si="2"/>
        <v>Sem 1</v>
      </c>
      <c r="D60" s="4" t="s">
        <v>7</v>
      </c>
      <c r="E60" s="4" t="s">
        <v>13</v>
      </c>
      <c r="F60" s="4" t="s">
        <v>14</v>
      </c>
      <c r="G60" s="5">
        <v>146.0</v>
      </c>
    </row>
    <row r="61" ht="22.5" customHeight="1">
      <c r="A61" s="3">
        <v>44965.0</v>
      </c>
      <c r="B61" s="4" t="str">
        <f t="shared" si="1"/>
        <v>T1</v>
      </c>
      <c r="C61" s="4" t="str">
        <f t="shared" si="2"/>
        <v>Sem 1</v>
      </c>
      <c r="D61" s="4" t="s">
        <v>7</v>
      </c>
      <c r="E61" s="4" t="s">
        <v>15</v>
      </c>
      <c r="F61" s="4" t="s">
        <v>16</v>
      </c>
      <c r="G61" s="5">
        <v>126.0</v>
      </c>
    </row>
    <row r="62" ht="22.5" customHeight="1">
      <c r="A62" s="3">
        <v>44965.0</v>
      </c>
      <c r="B62" s="4" t="str">
        <f t="shared" si="1"/>
        <v>T1</v>
      </c>
      <c r="C62" s="4" t="str">
        <f t="shared" si="2"/>
        <v>Sem 1</v>
      </c>
      <c r="D62" s="4" t="s">
        <v>7</v>
      </c>
      <c r="E62" s="4" t="s">
        <v>13</v>
      </c>
      <c r="F62" s="4" t="s">
        <v>17</v>
      </c>
      <c r="G62" s="5">
        <v>189.0</v>
      </c>
    </row>
    <row r="63" ht="22.5" customHeight="1">
      <c r="A63" s="3">
        <v>44965.0</v>
      </c>
      <c r="B63" s="4" t="str">
        <f t="shared" si="1"/>
        <v>T1</v>
      </c>
      <c r="C63" s="4" t="str">
        <f t="shared" si="2"/>
        <v>Sem 1</v>
      </c>
      <c r="D63" s="4" t="s">
        <v>7</v>
      </c>
      <c r="E63" s="4" t="s">
        <v>13</v>
      </c>
      <c r="F63" s="4" t="s">
        <v>18</v>
      </c>
      <c r="G63" s="5">
        <v>28.0</v>
      </c>
    </row>
    <row r="64" ht="22.5" customHeight="1">
      <c r="A64" s="3">
        <v>44965.0</v>
      </c>
      <c r="B64" s="4" t="str">
        <f t="shared" si="1"/>
        <v>T1</v>
      </c>
      <c r="C64" s="4" t="str">
        <f t="shared" si="2"/>
        <v>Sem 1</v>
      </c>
      <c r="D64" s="4" t="s">
        <v>7</v>
      </c>
      <c r="E64" s="4" t="s">
        <v>13</v>
      </c>
      <c r="F64" s="4" t="s">
        <v>14</v>
      </c>
      <c r="G64" s="5">
        <v>20.0</v>
      </c>
    </row>
    <row r="65" ht="22.5" customHeight="1">
      <c r="A65" s="3">
        <v>44966.0</v>
      </c>
      <c r="B65" s="4" t="str">
        <f t="shared" si="1"/>
        <v>T1</v>
      </c>
      <c r="C65" s="4" t="str">
        <f t="shared" si="2"/>
        <v>Sem 1</v>
      </c>
      <c r="D65" s="4" t="s">
        <v>7</v>
      </c>
      <c r="E65" s="4" t="s">
        <v>8</v>
      </c>
      <c r="F65" s="4" t="s">
        <v>9</v>
      </c>
      <c r="G65" s="5">
        <v>191.0</v>
      </c>
    </row>
    <row r="66" ht="22.5" customHeight="1">
      <c r="A66" s="3">
        <v>44966.0</v>
      </c>
      <c r="B66" s="4" t="str">
        <f t="shared" si="1"/>
        <v>T1</v>
      </c>
      <c r="C66" s="4" t="str">
        <f t="shared" si="2"/>
        <v>Sem 1</v>
      </c>
      <c r="D66" s="4" t="s">
        <v>7</v>
      </c>
      <c r="E66" s="4" t="s">
        <v>8</v>
      </c>
      <c r="F66" s="4" t="s">
        <v>9</v>
      </c>
      <c r="G66" s="5">
        <v>102.0</v>
      </c>
    </row>
    <row r="67" ht="22.5" customHeight="1">
      <c r="A67" s="3">
        <v>44967.0</v>
      </c>
      <c r="B67" s="4" t="str">
        <f t="shared" si="1"/>
        <v>T1</v>
      </c>
      <c r="C67" s="4" t="str">
        <f t="shared" si="2"/>
        <v>Sem 1</v>
      </c>
      <c r="D67" s="4" t="s">
        <v>7</v>
      </c>
      <c r="E67" s="4" t="s">
        <v>10</v>
      </c>
      <c r="F67" s="4" t="s">
        <v>11</v>
      </c>
      <c r="G67" s="5">
        <v>25.0</v>
      </c>
    </row>
    <row r="68" ht="22.5" customHeight="1">
      <c r="A68" s="3">
        <v>44968.0</v>
      </c>
      <c r="B68" s="4" t="str">
        <f t="shared" si="1"/>
        <v>T1</v>
      </c>
      <c r="C68" s="4" t="str">
        <f t="shared" si="2"/>
        <v>Sem 1</v>
      </c>
      <c r="D68" s="4" t="s">
        <v>7</v>
      </c>
      <c r="E68" s="4" t="s">
        <v>10</v>
      </c>
      <c r="F68" s="4" t="s">
        <v>12</v>
      </c>
      <c r="G68" s="5">
        <v>151.0</v>
      </c>
    </row>
    <row r="69" ht="22.5" customHeight="1">
      <c r="A69" s="3">
        <v>44968.0</v>
      </c>
      <c r="B69" s="4" t="str">
        <f t="shared" si="1"/>
        <v>T1</v>
      </c>
      <c r="C69" s="4" t="str">
        <f t="shared" si="2"/>
        <v>Sem 1</v>
      </c>
      <c r="D69" s="4" t="s">
        <v>7</v>
      </c>
      <c r="E69" s="4" t="s">
        <v>13</v>
      </c>
      <c r="F69" s="4" t="s">
        <v>14</v>
      </c>
      <c r="G69" s="5">
        <v>114.0</v>
      </c>
    </row>
    <row r="70" ht="22.5" customHeight="1">
      <c r="A70" s="3">
        <v>44969.0</v>
      </c>
      <c r="B70" s="4" t="str">
        <f t="shared" si="1"/>
        <v>T1</v>
      </c>
      <c r="C70" s="4" t="str">
        <f t="shared" si="2"/>
        <v>Sem 1</v>
      </c>
      <c r="D70" s="4" t="s">
        <v>7</v>
      </c>
      <c r="E70" s="4" t="s">
        <v>15</v>
      </c>
      <c r="F70" s="4" t="s">
        <v>16</v>
      </c>
      <c r="G70" s="5">
        <v>96.0</v>
      </c>
    </row>
    <row r="71" ht="22.5" customHeight="1">
      <c r="A71" s="3">
        <v>44969.0</v>
      </c>
      <c r="B71" s="4" t="str">
        <f t="shared" si="1"/>
        <v>T1</v>
      </c>
      <c r="C71" s="4" t="str">
        <f t="shared" si="2"/>
        <v>Sem 1</v>
      </c>
      <c r="D71" s="4" t="s">
        <v>7</v>
      </c>
      <c r="E71" s="4" t="s">
        <v>13</v>
      </c>
      <c r="F71" s="4" t="s">
        <v>17</v>
      </c>
      <c r="G71" s="5">
        <v>56.0</v>
      </c>
    </row>
    <row r="72" ht="22.5" customHeight="1">
      <c r="A72" s="3">
        <v>44970.0</v>
      </c>
      <c r="B72" s="4" t="str">
        <f t="shared" si="1"/>
        <v>T1</v>
      </c>
      <c r="C72" s="4" t="str">
        <f t="shared" si="2"/>
        <v>Sem 1</v>
      </c>
      <c r="D72" s="4" t="s">
        <v>7</v>
      </c>
      <c r="E72" s="4" t="s">
        <v>13</v>
      </c>
      <c r="F72" s="4" t="s">
        <v>18</v>
      </c>
      <c r="G72" s="5">
        <v>26.0</v>
      </c>
    </row>
    <row r="73" ht="22.5" customHeight="1">
      <c r="A73" s="3">
        <v>44970.0</v>
      </c>
      <c r="B73" s="4" t="str">
        <f t="shared" si="1"/>
        <v>T1</v>
      </c>
      <c r="C73" s="4" t="str">
        <f t="shared" si="2"/>
        <v>Sem 1</v>
      </c>
      <c r="D73" s="4" t="s">
        <v>7</v>
      </c>
      <c r="E73" s="4" t="s">
        <v>13</v>
      </c>
      <c r="F73" s="4" t="s">
        <v>14</v>
      </c>
      <c r="G73" s="5">
        <v>21.0</v>
      </c>
    </row>
    <row r="74" ht="22.5" customHeight="1">
      <c r="A74" s="3">
        <v>44971.0</v>
      </c>
      <c r="B74" s="4" t="str">
        <f t="shared" si="1"/>
        <v>T1</v>
      </c>
      <c r="C74" s="4" t="str">
        <f t="shared" si="2"/>
        <v>Sem 1</v>
      </c>
      <c r="D74" s="4" t="s">
        <v>7</v>
      </c>
      <c r="E74" s="4" t="s">
        <v>8</v>
      </c>
      <c r="F74" s="4" t="s">
        <v>9</v>
      </c>
      <c r="G74" s="5">
        <v>117.0</v>
      </c>
    </row>
    <row r="75" ht="22.5" customHeight="1">
      <c r="A75" s="3">
        <v>44971.0</v>
      </c>
      <c r="B75" s="4" t="str">
        <f t="shared" si="1"/>
        <v>T1</v>
      </c>
      <c r="C75" s="4" t="str">
        <f t="shared" si="2"/>
        <v>Sem 1</v>
      </c>
      <c r="D75" s="4" t="s">
        <v>7</v>
      </c>
      <c r="E75" s="4" t="s">
        <v>8</v>
      </c>
      <c r="F75" s="4" t="s">
        <v>9</v>
      </c>
      <c r="G75" s="5">
        <v>220.0</v>
      </c>
    </row>
    <row r="76" ht="22.5" customHeight="1">
      <c r="A76" s="3">
        <v>44972.0</v>
      </c>
      <c r="B76" s="4" t="str">
        <f t="shared" si="1"/>
        <v>T1</v>
      </c>
      <c r="C76" s="4" t="str">
        <f t="shared" si="2"/>
        <v>Sem 1</v>
      </c>
      <c r="D76" s="4" t="s">
        <v>7</v>
      </c>
      <c r="E76" s="4" t="s">
        <v>10</v>
      </c>
      <c r="F76" s="4" t="s">
        <v>11</v>
      </c>
      <c r="G76" s="5">
        <v>96.0</v>
      </c>
    </row>
    <row r="77" ht="22.5" customHeight="1">
      <c r="A77" s="3">
        <v>44972.0</v>
      </c>
      <c r="B77" s="4" t="str">
        <f t="shared" si="1"/>
        <v>T1</v>
      </c>
      <c r="C77" s="4" t="str">
        <f t="shared" si="2"/>
        <v>Sem 1</v>
      </c>
      <c r="D77" s="4" t="s">
        <v>7</v>
      </c>
      <c r="E77" s="4" t="s">
        <v>10</v>
      </c>
      <c r="F77" s="4" t="s">
        <v>12</v>
      </c>
      <c r="G77" s="5">
        <v>117.0</v>
      </c>
    </row>
    <row r="78" ht="22.5" customHeight="1">
      <c r="A78" s="3">
        <v>44973.0</v>
      </c>
      <c r="B78" s="4" t="str">
        <f t="shared" si="1"/>
        <v>T1</v>
      </c>
      <c r="C78" s="4" t="str">
        <f t="shared" si="2"/>
        <v>Sem 1</v>
      </c>
      <c r="D78" s="4" t="s">
        <v>7</v>
      </c>
      <c r="E78" s="4" t="s">
        <v>13</v>
      </c>
      <c r="F78" s="4" t="s">
        <v>14</v>
      </c>
      <c r="G78" s="5">
        <v>136.0</v>
      </c>
    </row>
    <row r="79" ht="22.5" customHeight="1">
      <c r="A79" s="3">
        <v>44973.0</v>
      </c>
      <c r="B79" s="4" t="str">
        <f t="shared" si="1"/>
        <v>T1</v>
      </c>
      <c r="C79" s="4" t="str">
        <f t="shared" si="2"/>
        <v>Sem 1</v>
      </c>
      <c r="D79" s="4" t="s">
        <v>7</v>
      </c>
      <c r="E79" s="4" t="s">
        <v>15</v>
      </c>
      <c r="F79" s="4" t="s">
        <v>16</v>
      </c>
      <c r="G79" s="5">
        <v>137.0</v>
      </c>
    </row>
    <row r="80" ht="22.5" customHeight="1">
      <c r="A80" s="3">
        <v>44973.0</v>
      </c>
      <c r="B80" s="4" t="str">
        <f t="shared" si="1"/>
        <v>T1</v>
      </c>
      <c r="C80" s="4" t="str">
        <f t="shared" si="2"/>
        <v>Sem 1</v>
      </c>
      <c r="D80" s="4" t="s">
        <v>7</v>
      </c>
      <c r="E80" s="4" t="s">
        <v>13</v>
      </c>
      <c r="F80" s="4" t="s">
        <v>17</v>
      </c>
      <c r="G80" s="5">
        <v>74.0</v>
      </c>
    </row>
    <row r="81" ht="22.5" customHeight="1">
      <c r="A81" s="3">
        <v>44974.0</v>
      </c>
      <c r="B81" s="4" t="str">
        <f t="shared" si="1"/>
        <v>T1</v>
      </c>
      <c r="C81" s="4" t="str">
        <f t="shared" si="2"/>
        <v>Sem 1</v>
      </c>
      <c r="D81" s="4" t="s">
        <v>7</v>
      </c>
      <c r="E81" s="4" t="s">
        <v>13</v>
      </c>
      <c r="F81" s="4" t="s">
        <v>18</v>
      </c>
      <c r="G81" s="5">
        <v>34.0</v>
      </c>
    </row>
    <row r="82" ht="22.5" customHeight="1">
      <c r="A82" s="3">
        <v>44974.0</v>
      </c>
      <c r="B82" s="4" t="str">
        <f t="shared" si="1"/>
        <v>T1</v>
      </c>
      <c r="C82" s="4" t="str">
        <f t="shared" si="2"/>
        <v>Sem 1</v>
      </c>
      <c r="D82" s="4" t="s">
        <v>7</v>
      </c>
      <c r="E82" s="4" t="s">
        <v>13</v>
      </c>
      <c r="F82" s="4" t="s">
        <v>14</v>
      </c>
      <c r="G82" s="5">
        <v>15.0</v>
      </c>
    </row>
    <row r="83" ht="22.5" customHeight="1">
      <c r="A83" s="3">
        <v>44974.0</v>
      </c>
      <c r="B83" s="4" t="str">
        <f t="shared" si="1"/>
        <v>T1</v>
      </c>
      <c r="C83" s="4" t="str">
        <f t="shared" si="2"/>
        <v>Sem 1</v>
      </c>
      <c r="D83" s="4" t="s">
        <v>7</v>
      </c>
      <c r="E83" s="4" t="s">
        <v>8</v>
      </c>
      <c r="F83" s="4" t="s">
        <v>9</v>
      </c>
      <c r="G83" s="5">
        <v>26.0</v>
      </c>
    </row>
    <row r="84" ht="22.5" customHeight="1">
      <c r="A84" s="3">
        <v>44977.0</v>
      </c>
      <c r="B84" s="4" t="str">
        <f t="shared" si="1"/>
        <v>T1</v>
      </c>
      <c r="C84" s="4" t="str">
        <f t="shared" si="2"/>
        <v>Sem 1</v>
      </c>
      <c r="D84" s="4" t="s">
        <v>7</v>
      </c>
      <c r="E84" s="4" t="s">
        <v>8</v>
      </c>
      <c r="F84" s="4" t="s">
        <v>9</v>
      </c>
      <c r="G84" s="5">
        <v>125.0</v>
      </c>
    </row>
    <row r="85" ht="22.5" customHeight="1">
      <c r="A85" s="3">
        <v>44977.0</v>
      </c>
      <c r="B85" s="4" t="str">
        <f t="shared" si="1"/>
        <v>T1</v>
      </c>
      <c r="C85" s="4" t="str">
        <f t="shared" si="2"/>
        <v>Sem 1</v>
      </c>
      <c r="D85" s="4" t="s">
        <v>21</v>
      </c>
      <c r="E85" s="4" t="s">
        <v>22</v>
      </c>
      <c r="F85" s="4" t="s">
        <v>23</v>
      </c>
      <c r="G85" s="5">
        <v>3000.0</v>
      </c>
    </row>
    <row r="86" ht="22.5" customHeight="1">
      <c r="A86" s="3">
        <v>44977.0</v>
      </c>
      <c r="B86" s="4" t="str">
        <f t="shared" si="1"/>
        <v>T1</v>
      </c>
      <c r="C86" s="4" t="str">
        <f t="shared" si="2"/>
        <v>Sem 1</v>
      </c>
      <c r="D86" s="4" t="s">
        <v>21</v>
      </c>
      <c r="E86" s="4" t="s">
        <v>24</v>
      </c>
      <c r="F86" s="4" t="s">
        <v>25</v>
      </c>
      <c r="G86" s="5">
        <v>2000.0</v>
      </c>
    </row>
    <row r="87" ht="22.5" customHeight="1">
      <c r="A87" s="3">
        <v>44977.0</v>
      </c>
      <c r="B87" s="4" t="str">
        <f t="shared" si="1"/>
        <v>T1</v>
      </c>
      <c r="C87" s="4" t="str">
        <f t="shared" si="2"/>
        <v>Sem 1</v>
      </c>
      <c r="D87" s="4" t="s">
        <v>7</v>
      </c>
      <c r="E87" s="4" t="s">
        <v>8</v>
      </c>
      <c r="F87" s="4" t="s">
        <v>26</v>
      </c>
      <c r="G87" s="5">
        <v>115.0</v>
      </c>
    </row>
    <row r="88" ht="22.5" customHeight="1">
      <c r="A88" s="3">
        <v>44978.0</v>
      </c>
      <c r="B88" s="4" t="str">
        <f t="shared" si="1"/>
        <v>T1</v>
      </c>
      <c r="C88" s="4" t="str">
        <f t="shared" si="2"/>
        <v>Sem 1</v>
      </c>
      <c r="D88" s="4" t="s">
        <v>7</v>
      </c>
      <c r="E88" s="4" t="s">
        <v>8</v>
      </c>
      <c r="F88" s="4" t="s">
        <v>27</v>
      </c>
      <c r="G88" s="5">
        <v>150.0</v>
      </c>
    </row>
    <row r="89" ht="22.5" customHeight="1">
      <c r="A89" s="3">
        <v>44981.0</v>
      </c>
      <c r="B89" s="4" t="str">
        <f t="shared" si="1"/>
        <v>T1</v>
      </c>
      <c r="C89" s="4" t="str">
        <f t="shared" si="2"/>
        <v>Sem 1</v>
      </c>
      <c r="D89" s="4" t="s">
        <v>7</v>
      </c>
      <c r="E89" s="4" t="s">
        <v>8</v>
      </c>
      <c r="F89" s="4" t="s">
        <v>9</v>
      </c>
      <c r="G89" s="5">
        <v>146.0</v>
      </c>
    </row>
    <row r="90" ht="22.5" customHeight="1">
      <c r="A90" s="3">
        <v>44981.0</v>
      </c>
      <c r="B90" s="4" t="str">
        <f t="shared" si="1"/>
        <v>T1</v>
      </c>
      <c r="C90" s="4" t="str">
        <f t="shared" si="2"/>
        <v>Sem 1</v>
      </c>
      <c r="D90" s="4" t="s">
        <v>7</v>
      </c>
      <c r="E90" s="4" t="s">
        <v>8</v>
      </c>
      <c r="F90" s="4" t="s">
        <v>28</v>
      </c>
      <c r="G90" s="5">
        <v>80.0</v>
      </c>
    </row>
    <row r="91" ht="22.5" customHeight="1">
      <c r="A91" s="3">
        <v>44981.0</v>
      </c>
      <c r="B91" s="4" t="str">
        <f t="shared" si="1"/>
        <v>T1</v>
      </c>
      <c r="C91" s="4" t="str">
        <f t="shared" si="2"/>
        <v>Sem 1</v>
      </c>
      <c r="D91" s="4" t="s">
        <v>7</v>
      </c>
      <c r="E91" s="4" t="s">
        <v>8</v>
      </c>
      <c r="F91" s="4" t="s">
        <v>28</v>
      </c>
      <c r="G91" s="5">
        <v>80.0</v>
      </c>
    </row>
    <row r="92" ht="22.5" customHeight="1">
      <c r="A92" s="3">
        <v>44982.0</v>
      </c>
      <c r="B92" s="4" t="str">
        <f t="shared" si="1"/>
        <v>T1</v>
      </c>
      <c r="C92" s="4" t="str">
        <f t="shared" si="2"/>
        <v>Sem 1</v>
      </c>
      <c r="D92" s="4" t="s">
        <v>7</v>
      </c>
      <c r="E92" s="4" t="s">
        <v>8</v>
      </c>
      <c r="F92" s="4" t="s">
        <v>29</v>
      </c>
      <c r="G92" s="5">
        <v>130.0</v>
      </c>
    </row>
    <row r="93" ht="22.5" customHeight="1">
      <c r="A93" s="3">
        <v>44983.0</v>
      </c>
      <c r="B93" s="4" t="str">
        <f t="shared" si="1"/>
        <v>T1</v>
      </c>
      <c r="C93" s="4" t="str">
        <f t="shared" si="2"/>
        <v>Sem 1</v>
      </c>
      <c r="D93" s="4" t="s">
        <v>7</v>
      </c>
      <c r="E93" s="4" t="s">
        <v>8</v>
      </c>
      <c r="F93" s="4" t="s">
        <v>30</v>
      </c>
      <c r="G93" s="5">
        <v>143.0</v>
      </c>
    </row>
    <row r="94" ht="22.5" customHeight="1">
      <c r="A94" s="3">
        <v>44985.0</v>
      </c>
      <c r="B94" s="4" t="str">
        <f t="shared" si="1"/>
        <v>T1</v>
      </c>
      <c r="C94" s="4" t="str">
        <f t="shared" si="2"/>
        <v>Sem 1</v>
      </c>
      <c r="D94" s="4" t="s">
        <v>7</v>
      </c>
      <c r="E94" s="4" t="s">
        <v>13</v>
      </c>
      <c r="F94" s="4" t="s">
        <v>31</v>
      </c>
      <c r="G94" s="5">
        <v>60.0</v>
      </c>
    </row>
    <row r="95" ht="22.5" customHeight="1">
      <c r="A95" s="3">
        <v>44985.0</v>
      </c>
      <c r="B95" s="4" t="str">
        <f t="shared" si="1"/>
        <v>T1</v>
      </c>
      <c r="C95" s="4" t="str">
        <f t="shared" si="2"/>
        <v>Sem 1</v>
      </c>
      <c r="D95" s="4" t="s">
        <v>7</v>
      </c>
      <c r="E95" s="4" t="s">
        <v>15</v>
      </c>
      <c r="F95" s="4" t="s">
        <v>32</v>
      </c>
      <c r="G95" s="5">
        <v>50.0</v>
      </c>
    </row>
    <row r="96" ht="22.5" customHeight="1">
      <c r="A96" s="3">
        <v>44987.0</v>
      </c>
      <c r="B96" s="4" t="str">
        <f t="shared" si="1"/>
        <v>T1</v>
      </c>
      <c r="C96" s="4" t="str">
        <f t="shared" si="2"/>
        <v>Sem 1</v>
      </c>
      <c r="D96" s="4" t="s">
        <v>7</v>
      </c>
      <c r="E96" s="4" t="s">
        <v>13</v>
      </c>
      <c r="F96" s="4" t="s">
        <v>14</v>
      </c>
      <c r="G96" s="5">
        <v>93.0</v>
      </c>
    </row>
    <row r="97" ht="22.5" customHeight="1">
      <c r="A97" s="3">
        <v>44988.0</v>
      </c>
      <c r="B97" s="4" t="str">
        <f t="shared" si="1"/>
        <v>T1</v>
      </c>
      <c r="C97" s="4" t="str">
        <f t="shared" si="2"/>
        <v>Sem 1</v>
      </c>
      <c r="D97" s="4" t="s">
        <v>7</v>
      </c>
      <c r="E97" s="4" t="s">
        <v>15</v>
      </c>
      <c r="F97" s="4" t="s">
        <v>16</v>
      </c>
      <c r="G97" s="5">
        <v>127.0</v>
      </c>
    </row>
    <row r="98" ht="22.5" customHeight="1">
      <c r="A98" s="3">
        <v>44989.0</v>
      </c>
      <c r="B98" s="4" t="str">
        <f t="shared" si="1"/>
        <v>T1</v>
      </c>
      <c r="C98" s="4" t="str">
        <f t="shared" si="2"/>
        <v>Sem 1</v>
      </c>
      <c r="D98" s="4" t="s">
        <v>7</v>
      </c>
      <c r="E98" s="4" t="s">
        <v>13</v>
      </c>
      <c r="F98" s="4" t="s">
        <v>17</v>
      </c>
      <c r="G98" s="5">
        <v>39.0</v>
      </c>
    </row>
    <row r="99" ht="22.5" customHeight="1">
      <c r="A99" s="3">
        <v>44990.0</v>
      </c>
      <c r="B99" s="4" t="str">
        <f t="shared" si="1"/>
        <v>T1</v>
      </c>
      <c r="C99" s="4" t="str">
        <f t="shared" si="2"/>
        <v>Sem 1</v>
      </c>
      <c r="D99" s="4" t="s">
        <v>7</v>
      </c>
      <c r="E99" s="4" t="s">
        <v>13</v>
      </c>
      <c r="F99" s="4" t="s">
        <v>18</v>
      </c>
      <c r="G99" s="5">
        <v>42.0</v>
      </c>
    </row>
    <row r="100" ht="22.5" customHeight="1">
      <c r="A100" s="3">
        <v>44991.0</v>
      </c>
      <c r="B100" s="4" t="str">
        <f t="shared" si="1"/>
        <v>T1</v>
      </c>
      <c r="C100" s="4" t="str">
        <f t="shared" si="2"/>
        <v>Sem 1</v>
      </c>
      <c r="D100" s="4" t="s">
        <v>7</v>
      </c>
      <c r="E100" s="4" t="s">
        <v>13</v>
      </c>
      <c r="F100" s="4" t="s">
        <v>14</v>
      </c>
      <c r="G100" s="5">
        <v>151.0</v>
      </c>
    </row>
    <row r="101" ht="22.5" customHeight="1">
      <c r="A101" s="3">
        <v>44993.0</v>
      </c>
      <c r="B101" s="4" t="str">
        <f t="shared" si="1"/>
        <v>T1</v>
      </c>
      <c r="C101" s="4" t="str">
        <f t="shared" si="2"/>
        <v>Sem 1</v>
      </c>
      <c r="D101" s="4" t="s">
        <v>7</v>
      </c>
      <c r="E101" s="4" t="s">
        <v>19</v>
      </c>
      <c r="F101" s="4" t="s">
        <v>20</v>
      </c>
      <c r="G101" s="5">
        <v>45.0</v>
      </c>
    </row>
    <row r="102" ht="22.5" customHeight="1">
      <c r="A102" s="3">
        <v>44995.0</v>
      </c>
      <c r="B102" s="4" t="str">
        <f t="shared" si="1"/>
        <v>T1</v>
      </c>
      <c r="C102" s="4" t="str">
        <f t="shared" si="2"/>
        <v>Sem 1</v>
      </c>
      <c r="D102" s="4" t="s">
        <v>7</v>
      </c>
      <c r="E102" s="4" t="s">
        <v>8</v>
      </c>
      <c r="F102" s="4" t="s">
        <v>9</v>
      </c>
      <c r="G102" s="5">
        <v>122.0</v>
      </c>
    </row>
    <row r="103" ht="22.5" customHeight="1">
      <c r="A103" s="3">
        <v>44996.0</v>
      </c>
      <c r="B103" s="4" t="str">
        <f t="shared" si="1"/>
        <v>T1</v>
      </c>
      <c r="C103" s="4" t="str">
        <f t="shared" si="2"/>
        <v>Sem 1</v>
      </c>
      <c r="D103" s="4" t="s">
        <v>7</v>
      </c>
      <c r="E103" s="4" t="s">
        <v>10</v>
      </c>
      <c r="F103" s="4" t="s">
        <v>11</v>
      </c>
      <c r="G103" s="5">
        <v>199.0</v>
      </c>
    </row>
    <row r="104" ht="22.5" customHeight="1">
      <c r="A104" s="3">
        <v>44997.0</v>
      </c>
      <c r="B104" s="4" t="str">
        <f t="shared" si="1"/>
        <v>T1</v>
      </c>
      <c r="C104" s="4" t="str">
        <f t="shared" si="2"/>
        <v>Sem 1</v>
      </c>
      <c r="D104" s="4" t="s">
        <v>7</v>
      </c>
      <c r="E104" s="4" t="s">
        <v>10</v>
      </c>
      <c r="F104" s="4" t="s">
        <v>12</v>
      </c>
      <c r="G104" s="5">
        <v>26.0</v>
      </c>
    </row>
    <row r="105" ht="22.5" customHeight="1">
      <c r="A105" s="3">
        <v>44997.0</v>
      </c>
      <c r="B105" s="4" t="str">
        <f t="shared" si="1"/>
        <v>T1</v>
      </c>
      <c r="C105" s="4" t="str">
        <f t="shared" si="2"/>
        <v>Sem 1</v>
      </c>
      <c r="D105" s="4" t="s">
        <v>7</v>
      </c>
      <c r="E105" s="4" t="s">
        <v>13</v>
      </c>
      <c r="F105" s="4" t="s">
        <v>14</v>
      </c>
      <c r="G105" s="5">
        <v>84.0</v>
      </c>
    </row>
    <row r="106" ht="22.5" customHeight="1">
      <c r="A106" s="3">
        <v>44997.0</v>
      </c>
      <c r="B106" s="4" t="str">
        <f t="shared" si="1"/>
        <v>T1</v>
      </c>
      <c r="C106" s="4" t="str">
        <f t="shared" si="2"/>
        <v>Sem 1</v>
      </c>
      <c r="D106" s="4" t="s">
        <v>7</v>
      </c>
      <c r="E106" s="4" t="s">
        <v>15</v>
      </c>
      <c r="F106" s="4" t="s">
        <v>16</v>
      </c>
      <c r="G106" s="5">
        <v>59.0</v>
      </c>
    </row>
    <row r="107" ht="22.5" customHeight="1">
      <c r="A107" s="3">
        <v>44997.0</v>
      </c>
      <c r="B107" s="4" t="str">
        <f t="shared" si="1"/>
        <v>T1</v>
      </c>
      <c r="C107" s="4" t="str">
        <f t="shared" si="2"/>
        <v>Sem 1</v>
      </c>
      <c r="D107" s="4" t="s">
        <v>7</v>
      </c>
      <c r="E107" s="4" t="s">
        <v>13</v>
      </c>
      <c r="F107" s="4" t="s">
        <v>17</v>
      </c>
      <c r="G107" s="5">
        <v>100.0</v>
      </c>
    </row>
    <row r="108" ht="22.5" customHeight="1">
      <c r="A108" s="3">
        <v>44998.0</v>
      </c>
      <c r="B108" s="4" t="str">
        <f t="shared" si="1"/>
        <v>T1</v>
      </c>
      <c r="C108" s="4" t="str">
        <f t="shared" si="2"/>
        <v>Sem 1</v>
      </c>
      <c r="D108" s="4" t="s">
        <v>7</v>
      </c>
      <c r="E108" s="4" t="s">
        <v>13</v>
      </c>
      <c r="F108" s="4" t="s">
        <v>18</v>
      </c>
      <c r="G108" s="5">
        <v>18.0</v>
      </c>
    </row>
    <row r="109" ht="22.5" customHeight="1">
      <c r="A109" s="3">
        <v>44999.0</v>
      </c>
      <c r="B109" s="4" t="str">
        <f t="shared" si="1"/>
        <v>T1</v>
      </c>
      <c r="C109" s="4" t="str">
        <f t="shared" si="2"/>
        <v>Sem 1</v>
      </c>
      <c r="D109" s="4" t="s">
        <v>7</v>
      </c>
      <c r="E109" s="4" t="s">
        <v>13</v>
      </c>
      <c r="F109" s="4" t="s">
        <v>14</v>
      </c>
      <c r="G109" s="5">
        <v>84.0</v>
      </c>
    </row>
    <row r="110" ht="22.5" customHeight="1">
      <c r="A110" s="3">
        <v>45001.0</v>
      </c>
      <c r="B110" s="4" t="str">
        <f t="shared" si="1"/>
        <v>T1</v>
      </c>
      <c r="C110" s="4" t="str">
        <f t="shared" si="2"/>
        <v>Sem 1</v>
      </c>
      <c r="D110" s="4" t="s">
        <v>7</v>
      </c>
      <c r="E110" s="4" t="s">
        <v>8</v>
      </c>
      <c r="F110" s="4" t="s">
        <v>9</v>
      </c>
      <c r="G110" s="5">
        <v>237.0</v>
      </c>
    </row>
    <row r="111" ht="22.5" customHeight="1">
      <c r="A111" s="3">
        <v>45002.0</v>
      </c>
      <c r="B111" s="4" t="str">
        <f t="shared" si="1"/>
        <v>T1</v>
      </c>
      <c r="C111" s="4" t="str">
        <f t="shared" si="2"/>
        <v>Sem 1</v>
      </c>
      <c r="D111" s="4" t="s">
        <v>7</v>
      </c>
      <c r="E111" s="4" t="s">
        <v>8</v>
      </c>
      <c r="F111" s="4" t="s">
        <v>9</v>
      </c>
      <c r="G111" s="5">
        <v>110.0</v>
      </c>
    </row>
    <row r="112" ht="22.5" customHeight="1">
      <c r="A112" s="3">
        <v>45003.0</v>
      </c>
      <c r="B112" s="4" t="str">
        <f t="shared" si="1"/>
        <v>T1</v>
      </c>
      <c r="C112" s="4" t="str">
        <f t="shared" si="2"/>
        <v>Sem 1</v>
      </c>
      <c r="D112" s="4" t="s">
        <v>7</v>
      </c>
      <c r="E112" s="4" t="s">
        <v>10</v>
      </c>
      <c r="F112" s="4" t="s">
        <v>11</v>
      </c>
      <c r="G112" s="5">
        <v>185.0</v>
      </c>
    </row>
    <row r="113" ht="22.5" customHeight="1">
      <c r="A113" s="3">
        <v>45003.0</v>
      </c>
      <c r="B113" s="4" t="str">
        <f t="shared" si="1"/>
        <v>T1</v>
      </c>
      <c r="C113" s="4" t="str">
        <f t="shared" si="2"/>
        <v>Sem 1</v>
      </c>
      <c r="D113" s="4" t="s">
        <v>7</v>
      </c>
      <c r="E113" s="4" t="s">
        <v>10</v>
      </c>
      <c r="F113" s="4" t="s">
        <v>12</v>
      </c>
      <c r="G113" s="5">
        <v>158.0</v>
      </c>
    </row>
    <row r="114" ht="22.5" customHeight="1">
      <c r="A114" s="3">
        <v>45003.0</v>
      </c>
      <c r="B114" s="4" t="str">
        <f t="shared" si="1"/>
        <v>T1</v>
      </c>
      <c r="C114" s="4" t="str">
        <f t="shared" si="2"/>
        <v>Sem 1</v>
      </c>
      <c r="D114" s="4" t="s">
        <v>7</v>
      </c>
      <c r="E114" s="4" t="s">
        <v>13</v>
      </c>
      <c r="F114" s="4" t="s">
        <v>14</v>
      </c>
      <c r="G114" s="5">
        <v>178.0</v>
      </c>
    </row>
    <row r="115" ht="22.5" customHeight="1">
      <c r="A115" s="3">
        <v>45004.0</v>
      </c>
      <c r="B115" s="4" t="str">
        <f t="shared" si="1"/>
        <v>T1</v>
      </c>
      <c r="C115" s="4" t="str">
        <f t="shared" si="2"/>
        <v>Sem 1</v>
      </c>
      <c r="D115" s="4" t="s">
        <v>7</v>
      </c>
      <c r="E115" s="4" t="s">
        <v>15</v>
      </c>
      <c r="F115" s="4" t="s">
        <v>16</v>
      </c>
      <c r="G115" s="5">
        <v>91.0</v>
      </c>
    </row>
    <row r="116" ht="22.5" customHeight="1">
      <c r="A116" s="3">
        <v>45005.0</v>
      </c>
      <c r="B116" s="4" t="str">
        <f t="shared" si="1"/>
        <v>T1</v>
      </c>
      <c r="C116" s="4" t="str">
        <f t="shared" si="2"/>
        <v>Sem 1</v>
      </c>
      <c r="D116" s="4" t="s">
        <v>7</v>
      </c>
      <c r="E116" s="4" t="s">
        <v>13</v>
      </c>
      <c r="F116" s="4" t="s">
        <v>17</v>
      </c>
      <c r="G116" s="5">
        <v>143.0</v>
      </c>
    </row>
    <row r="117" ht="22.5" customHeight="1">
      <c r="A117" s="3">
        <v>45006.0</v>
      </c>
      <c r="B117" s="4" t="str">
        <f t="shared" si="1"/>
        <v>T1</v>
      </c>
      <c r="C117" s="4" t="str">
        <f t="shared" si="2"/>
        <v>Sem 1</v>
      </c>
      <c r="D117" s="4" t="s">
        <v>7</v>
      </c>
      <c r="E117" s="4" t="s">
        <v>13</v>
      </c>
      <c r="F117" s="4" t="s">
        <v>18</v>
      </c>
      <c r="G117" s="5">
        <v>24.0</v>
      </c>
    </row>
    <row r="118" ht="22.5" customHeight="1">
      <c r="A118" s="3">
        <v>45007.0</v>
      </c>
      <c r="B118" s="4" t="str">
        <f t="shared" si="1"/>
        <v>T1</v>
      </c>
      <c r="C118" s="4" t="str">
        <f t="shared" si="2"/>
        <v>Sem 1</v>
      </c>
      <c r="D118" s="4" t="s">
        <v>21</v>
      </c>
      <c r="E118" s="4" t="s">
        <v>22</v>
      </c>
      <c r="F118" s="4" t="s">
        <v>23</v>
      </c>
      <c r="G118" s="5">
        <v>3000.0</v>
      </c>
    </row>
    <row r="119" ht="22.5" customHeight="1">
      <c r="A119" s="3">
        <v>45007.0</v>
      </c>
      <c r="B119" s="4" t="str">
        <f t="shared" si="1"/>
        <v>T1</v>
      </c>
      <c r="C119" s="4" t="str">
        <f t="shared" si="2"/>
        <v>Sem 1</v>
      </c>
      <c r="D119" s="4" t="s">
        <v>21</v>
      </c>
      <c r="E119" s="4" t="s">
        <v>24</v>
      </c>
      <c r="F119" s="4" t="s">
        <v>25</v>
      </c>
      <c r="G119" s="5">
        <v>2500.0</v>
      </c>
    </row>
    <row r="120" ht="22.5" customHeight="1">
      <c r="A120" s="3">
        <v>45007.0</v>
      </c>
      <c r="B120" s="4" t="str">
        <f t="shared" si="1"/>
        <v>T1</v>
      </c>
      <c r="C120" s="4" t="str">
        <f t="shared" si="2"/>
        <v>Sem 1</v>
      </c>
      <c r="D120" s="4" t="s">
        <v>7</v>
      </c>
      <c r="E120" s="4" t="s">
        <v>8</v>
      </c>
      <c r="F120" s="4" t="s">
        <v>26</v>
      </c>
      <c r="G120" s="5">
        <v>182.0</v>
      </c>
    </row>
    <row r="121" ht="22.5" customHeight="1">
      <c r="A121" s="3">
        <v>45008.0</v>
      </c>
      <c r="B121" s="4" t="str">
        <f t="shared" si="1"/>
        <v>T1</v>
      </c>
      <c r="C121" s="4" t="str">
        <f t="shared" si="2"/>
        <v>Sem 1</v>
      </c>
      <c r="D121" s="4" t="s">
        <v>7</v>
      </c>
      <c r="E121" s="4" t="s">
        <v>8</v>
      </c>
      <c r="F121" s="4" t="s">
        <v>27</v>
      </c>
      <c r="G121" s="5">
        <v>300.0</v>
      </c>
    </row>
    <row r="122" ht="22.5" customHeight="1">
      <c r="A122" s="3">
        <v>45008.0</v>
      </c>
      <c r="B122" s="4" t="str">
        <f t="shared" si="1"/>
        <v>T1</v>
      </c>
      <c r="C122" s="4" t="str">
        <f t="shared" si="2"/>
        <v>Sem 1</v>
      </c>
      <c r="D122" s="4" t="s">
        <v>7</v>
      </c>
      <c r="E122" s="4" t="s">
        <v>8</v>
      </c>
      <c r="F122" s="4" t="s">
        <v>9</v>
      </c>
      <c r="G122" s="5">
        <v>285.0</v>
      </c>
    </row>
    <row r="123" ht="22.5" customHeight="1">
      <c r="A123" s="3">
        <v>45009.0</v>
      </c>
      <c r="B123" s="4" t="str">
        <f t="shared" si="1"/>
        <v>T1</v>
      </c>
      <c r="C123" s="4" t="str">
        <f t="shared" si="2"/>
        <v>Sem 1</v>
      </c>
      <c r="D123" s="4" t="s">
        <v>7</v>
      </c>
      <c r="E123" s="4" t="s">
        <v>8</v>
      </c>
      <c r="F123" s="4" t="s">
        <v>28</v>
      </c>
      <c r="G123" s="5">
        <v>80.0</v>
      </c>
    </row>
    <row r="124" ht="22.5" customHeight="1">
      <c r="A124" s="3">
        <v>45011.0</v>
      </c>
      <c r="B124" s="4" t="str">
        <f t="shared" si="1"/>
        <v>T1</v>
      </c>
      <c r="C124" s="4" t="str">
        <f t="shared" si="2"/>
        <v>Sem 1</v>
      </c>
      <c r="D124" s="4" t="s">
        <v>7</v>
      </c>
      <c r="E124" s="4" t="s">
        <v>8</v>
      </c>
      <c r="F124" s="4" t="s">
        <v>28</v>
      </c>
      <c r="G124" s="5">
        <v>80.0</v>
      </c>
    </row>
    <row r="125" ht="22.5" customHeight="1">
      <c r="A125" s="3">
        <v>45016.0</v>
      </c>
      <c r="B125" s="4" t="str">
        <f t="shared" si="1"/>
        <v>T1</v>
      </c>
      <c r="C125" s="4" t="str">
        <f t="shared" si="2"/>
        <v>Sem 1</v>
      </c>
      <c r="D125" s="4" t="s">
        <v>7</v>
      </c>
      <c r="E125" s="4" t="s">
        <v>8</v>
      </c>
      <c r="F125" s="4" t="s">
        <v>29</v>
      </c>
      <c r="G125" s="5">
        <v>20.0</v>
      </c>
    </row>
    <row r="126" ht="22.5" customHeight="1">
      <c r="A126" s="3">
        <v>45016.0</v>
      </c>
      <c r="B126" s="4" t="str">
        <f t="shared" si="1"/>
        <v>T1</v>
      </c>
      <c r="C126" s="4" t="str">
        <f t="shared" si="2"/>
        <v>Sem 1</v>
      </c>
      <c r="D126" s="4" t="s">
        <v>7</v>
      </c>
      <c r="E126" s="4" t="s">
        <v>8</v>
      </c>
      <c r="F126" s="4" t="s">
        <v>30</v>
      </c>
      <c r="G126" s="5">
        <v>63.0</v>
      </c>
    </row>
    <row r="127" ht="22.5" customHeight="1">
      <c r="A127" s="3">
        <v>45016.0</v>
      </c>
      <c r="B127" s="4" t="str">
        <f t="shared" si="1"/>
        <v>T1</v>
      </c>
      <c r="C127" s="4" t="str">
        <f t="shared" si="2"/>
        <v>Sem 1</v>
      </c>
      <c r="D127" s="4" t="s">
        <v>7</v>
      </c>
      <c r="E127" s="4" t="s">
        <v>13</v>
      </c>
      <c r="F127" s="4" t="s">
        <v>31</v>
      </c>
      <c r="G127" s="5">
        <v>60.0</v>
      </c>
    </row>
    <row r="128" ht="22.5" customHeight="1">
      <c r="A128" s="3">
        <v>45016.0</v>
      </c>
      <c r="B128" s="4" t="str">
        <f t="shared" si="1"/>
        <v>T1</v>
      </c>
      <c r="C128" s="4" t="str">
        <f t="shared" si="2"/>
        <v>Sem 1</v>
      </c>
      <c r="D128" s="4" t="s">
        <v>7</v>
      </c>
      <c r="E128" s="4" t="s">
        <v>15</v>
      </c>
      <c r="F128" s="4" t="s">
        <v>32</v>
      </c>
      <c r="G128" s="5">
        <v>50.0</v>
      </c>
    </row>
    <row r="129" ht="22.5" customHeight="1">
      <c r="A129" s="3">
        <v>45017.0</v>
      </c>
      <c r="B129" s="4" t="str">
        <f t="shared" si="1"/>
        <v>T2</v>
      </c>
      <c r="C129" s="4" t="str">
        <f t="shared" si="2"/>
        <v>Sem 1</v>
      </c>
      <c r="D129" s="4" t="s">
        <v>7</v>
      </c>
      <c r="E129" s="4" t="s">
        <v>8</v>
      </c>
      <c r="F129" s="4" t="s">
        <v>9</v>
      </c>
      <c r="G129" s="5">
        <v>580.0</v>
      </c>
    </row>
    <row r="130" ht="22.5" customHeight="1">
      <c r="A130" s="3">
        <v>45017.0</v>
      </c>
      <c r="B130" s="4" t="str">
        <f t="shared" si="1"/>
        <v>T2</v>
      </c>
      <c r="C130" s="4" t="str">
        <f t="shared" si="2"/>
        <v>Sem 1</v>
      </c>
      <c r="D130" s="4" t="s">
        <v>7</v>
      </c>
      <c r="E130" s="4" t="s">
        <v>10</v>
      </c>
      <c r="F130" s="4" t="s">
        <v>11</v>
      </c>
      <c r="G130" s="5">
        <v>39.0</v>
      </c>
    </row>
    <row r="131" ht="22.5" customHeight="1">
      <c r="A131" s="3">
        <v>45017.0</v>
      </c>
      <c r="B131" s="4" t="str">
        <f t="shared" si="1"/>
        <v>T2</v>
      </c>
      <c r="C131" s="4" t="str">
        <f t="shared" si="2"/>
        <v>Sem 1</v>
      </c>
      <c r="D131" s="4" t="s">
        <v>7</v>
      </c>
      <c r="E131" s="4" t="s">
        <v>10</v>
      </c>
      <c r="F131" s="4" t="s">
        <v>12</v>
      </c>
      <c r="G131" s="5">
        <v>182.0</v>
      </c>
    </row>
    <row r="132" ht="22.5" customHeight="1">
      <c r="A132" s="3">
        <v>45018.0</v>
      </c>
      <c r="B132" s="4" t="str">
        <f t="shared" si="1"/>
        <v>T2</v>
      </c>
      <c r="C132" s="4" t="str">
        <f t="shared" si="2"/>
        <v>Sem 1</v>
      </c>
      <c r="D132" s="4" t="s">
        <v>7</v>
      </c>
      <c r="E132" s="4" t="s">
        <v>13</v>
      </c>
      <c r="F132" s="4" t="s">
        <v>14</v>
      </c>
      <c r="G132" s="5">
        <v>26.0</v>
      </c>
    </row>
    <row r="133" ht="22.5" customHeight="1">
      <c r="A133" s="3">
        <v>45018.0</v>
      </c>
      <c r="B133" s="4" t="str">
        <f t="shared" si="1"/>
        <v>T2</v>
      </c>
      <c r="C133" s="4" t="str">
        <f t="shared" si="2"/>
        <v>Sem 1</v>
      </c>
      <c r="D133" s="4" t="s">
        <v>7</v>
      </c>
      <c r="E133" s="4" t="s">
        <v>15</v>
      </c>
      <c r="F133" s="4" t="s">
        <v>16</v>
      </c>
      <c r="G133" s="5">
        <v>25.0</v>
      </c>
    </row>
    <row r="134" ht="22.5" customHeight="1">
      <c r="A134" s="3">
        <v>45019.0</v>
      </c>
      <c r="B134" s="4" t="str">
        <f t="shared" si="1"/>
        <v>T2</v>
      </c>
      <c r="C134" s="4" t="str">
        <f t="shared" si="2"/>
        <v>Sem 1</v>
      </c>
      <c r="D134" s="4" t="s">
        <v>7</v>
      </c>
      <c r="E134" s="4" t="s">
        <v>13</v>
      </c>
      <c r="F134" s="4" t="s">
        <v>17</v>
      </c>
      <c r="G134" s="5">
        <v>26.0</v>
      </c>
    </row>
    <row r="135" ht="22.5" customHeight="1">
      <c r="A135" s="3">
        <v>45019.0</v>
      </c>
      <c r="B135" s="4" t="str">
        <f t="shared" si="1"/>
        <v>T2</v>
      </c>
      <c r="C135" s="4" t="str">
        <f t="shared" si="2"/>
        <v>Sem 1</v>
      </c>
      <c r="D135" s="4" t="s">
        <v>7</v>
      </c>
      <c r="E135" s="4" t="s">
        <v>13</v>
      </c>
      <c r="F135" s="4" t="s">
        <v>18</v>
      </c>
      <c r="G135" s="5">
        <v>32.0</v>
      </c>
    </row>
    <row r="136" ht="22.5" customHeight="1">
      <c r="A136" s="3">
        <v>45019.0</v>
      </c>
      <c r="B136" s="4" t="str">
        <f t="shared" si="1"/>
        <v>T2</v>
      </c>
      <c r="C136" s="4" t="str">
        <f t="shared" si="2"/>
        <v>Sem 1</v>
      </c>
      <c r="D136" s="4" t="s">
        <v>7</v>
      </c>
      <c r="E136" s="4" t="s">
        <v>13</v>
      </c>
      <c r="F136" s="4" t="s">
        <v>14</v>
      </c>
      <c r="G136" s="5">
        <v>76.0</v>
      </c>
    </row>
    <row r="137" ht="22.5" customHeight="1">
      <c r="A137" s="3">
        <v>45020.0</v>
      </c>
      <c r="B137" s="4" t="str">
        <f t="shared" si="1"/>
        <v>T2</v>
      </c>
      <c r="C137" s="4" t="str">
        <f t="shared" si="2"/>
        <v>Sem 1</v>
      </c>
      <c r="D137" s="4" t="s">
        <v>7</v>
      </c>
      <c r="E137" s="4" t="s">
        <v>19</v>
      </c>
      <c r="F137" s="4" t="s">
        <v>20</v>
      </c>
      <c r="G137" s="5">
        <v>45.0</v>
      </c>
    </row>
    <row r="138" ht="22.5" customHeight="1">
      <c r="A138" s="3">
        <v>45021.0</v>
      </c>
      <c r="B138" s="4" t="str">
        <f t="shared" si="1"/>
        <v>T2</v>
      </c>
      <c r="C138" s="4" t="str">
        <f t="shared" si="2"/>
        <v>Sem 1</v>
      </c>
      <c r="D138" s="4" t="s">
        <v>7</v>
      </c>
      <c r="E138" s="4" t="s">
        <v>8</v>
      </c>
      <c r="F138" s="4" t="s">
        <v>9</v>
      </c>
      <c r="G138" s="5">
        <v>166.0</v>
      </c>
    </row>
    <row r="139" ht="22.5" customHeight="1">
      <c r="A139" s="3">
        <v>45022.0</v>
      </c>
      <c r="B139" s="4" t="str">
        <f t="shared" si="1"/>
        <v>T2</v>
      </c>
      <c r="C139" s="4" t="str">
        <f t="shared" si="2"/>
        <v>Sem 1</v>
      </c>
      <c r="D139" s="4" t="s">
        <v>7</v>
      </c>
      <c r="E139" s="4" t="s">
        <v>10</v>
      </c>
      <c r="F139" s="4" t="s">
        <v>11</v>
      </c>
      <c r="G139" s="5">
        <v>102.0</v>
      </c>
    </row>
    <row r="140" ht="22.5" customHeight="1">
      <c r="A140" s="3">
        <v>45023.0</v>
      </c>
      <c r="B140" s="4" t="str">
        <f t="shared" si="1"/>
        <v>T2</v>
      </c>
      <c r="C140" s="4" t="str">
        <f t="shared" si="2"/>
        <v>Sem 1</v>
      </c>
      <c r="D140" s="4" t="s">
        <v>7</v>
      </c>
      <c r="E140" s="4" t="s">
        <v>10</v>
      </c>
      <c r="F140" s="4" t="s">
        <v>12</v>
      </c>
      <c r="G140" s="5">
        <v>121.0</v>
      </c>
    </row>
    <row r="141" ht="22.5" customHeight="1">
      <c r="A141" s="3">
        <v>45023.0</v>
      </c>
      <c r="B141" s="4" t="str">
        <f t="shared" si="1"/>
        <v>T2</v>
      </c>
      <c r="C141" s="4" t="str">
        <f t="shared" si="2"/>
        <v>Sem 1</v>
      </c>
      <c r="D141" s="4" t="s">
        <v>7</v>
      </c>
      <c r="E141" s="4" t="s">
        <v>13</v>
      </c>
      <c r="F141" s="4" t="s">
        <v>14</v>
      </c>
      <c r="G141" s="5">
        <v>63.0</v>
      </c>
    </row>
    <row r="142" ht="22.5" customHeight="1">
      <c r="A142" s="3">
        <v>45023.0</v>
      </c>
      <c r="B142" s="4" t="str">
        <f t="shared" si="1"/>
        <v>T2</v>
      </c>
      <c r="C142" s="4" t="str">
        <f t="shared" si="2"/>
        <v>Sem 1</v>
      </c>
      <c r="D142" s="4" t="s">
        <v>7</v>
      </c>
      <c r="E142" s="4" t="s">
        <v>15</v>
      </c>
      <c r="F142" s="4" t="s">
        <v>16</v>
      </c>
      <c r="G142" s="5">
        <v>88.0</v>
      </c>
    </row>
    <row r="143" ht="22.5" customHeight="1">
      <c r="A143" s="3">
        <v>45024.0</v>
      </c>
      <c r="B143" s="4" t="str">
        <f t="shared" si="1"/>
        <v>T2</v>
      </c>
      <c r="C143" s="4" t="str">
        <f t="shared" si="2"/>
        <v>Sem 1</v>
      </c>
      <c r="D143" s="4" t="s">
        <v>7</v>
      </c>
      <c r="E143" s="4" t="s">
        <v>13</v>
      </c>
      <c r="F143" s="4" t="s">
        <v>17</v>
      </c>
      <c r="G143" s="5">
        <v>80.0</v>
      </c>
    </row>
    <row r="144" ht="22.5" customHeight="1">
      <c r="A144" s="3">
        <v>45024.0</v>
      </c>
      <c r="B144" s="4" t="str">
        <f t="shared" si="1"/>
        <v>T2</v>
      </c>
      <c r="C144" s="4" t="str">
        <f t="shared" si="2"/>
        <v>Sem 1</v>
      </c>
      <c r="D144" s="4" t="s">
        <v>7</v>
      </c>
      <c r="E144" s="4" t="s">
        <v>13</v>
      </c>
      <c r="F144" s="4" t="s">
        <v>18</v>
      </c>
      <c r="G144" s="5">
        <v>33.0</v>
      </c>
    </row>
    <row r="145" ht="22.5" customHeight="1">
      <c r="A145" s="3">
        <v>45026.0</v>
      </c>
      <c r="B145" s="4" t="str">
        <f t="shared" si="1"/>
        <v>T2</v>
      </c>
      <c r="C145" s="4" t="str">
        <f t="shared" si="2"/>
        <v>Sem 1</v>
      </c>
      <c r="D145" s="4" t="s">
        <v>7</v>
      </c>
      <c r="E145" s="4" t="s">
        <v>13</v>
      </c>
      <c r="F145" s="4" t="s">
        <v>14</v>
      </c>
      <c r="G145" s="5">
        <v>98.0</v>
      </c>
    </row>
    <row r="146" ht="22.5" customHeight="1">
      <c r="A146" s="3">
        <v>45026.0</v>
      </c>
      <c r="B146" s="4" t="str">
        <f t="shared" si="1"/>
        <v>T2</v>
      </c>
      <c r="C146" s="4" t="str">
        <f t="shared" si="2"/>
        <v>Sem 1</v>
      </c>
      <c r="D146" s="4" t="s">
        <v>7</v>
      </c>
      <c r="E146" s="4" t="s">
        <v>8</v>
      </c>
      <c r="F146" s="4" t="s">
        <v>9</v>
      </c>
      <c r="G146" s="5">
        <v>22.0</v>
      </c>
    </row>
    <row r="147" ht="22.5" customHeight="1">
      <c r="A147" s="3">
        <v>45027.0</v>
      </c>
      <c r="B147" s="4" t="str">
        <f t="shared" si="1"/>
        <v>T2</v>
      </c>
      <c r="C147" s="4" t="str">
        <f t="shared" si="2"/>
        <v>Sem 1</v>
      </c>
      <c r="D147" s="4" t="s">
        <v>7</v>
      </c>
      <c r="E147" s="4" t="s">
        <v>8</v>
      </c>
      <c r="F147" s="4" t="s">
        <v>9</v>
      </c>
      <c r="G147" s="5">
        <v>236.0</v>
      </c>
    </row>
    <row r="148" ht="22.5" customHeight="1">
      <c r="A148" s="3">
        <v>45028.0</v>
      </c>
      <c r="B148" s="4" t="str">
        <f t="shared" si="1"/>
        <v>T2</v>
      </c>
      <c r="C148" s="4" t="str">
        <f t="shared" si="2"/>
        <v>Sem 1</v>
      </c>
      <c r="D148" s="4" t="s">
        <v>7</v>
      </c>
      <c r="E148" s="4" t="s">
        <v>10</v>
      </c>
      <c r="F148" s="4" t="s">
        <v>11</v>
      </c>
      <c r="G148" s="5">
        <v>28.0</v>
      </c>
    </row>
    <row r="149" ht="22.5" customHeight="1">
      <c r="A149" s="3">
        <v>45029.0</v>
      </c>
      <c r="B149" s="4" t="str">
        <f t="shared" si="1"/>
        <v>T2</v>
      </c>
      <c r="C149" s="4" t="str">
        <f t="shared" si="2"/>
        <v>Sem 1</v>
      </c>
      <c r="D149" s="4" t="s">
        <v>7</v>
      </c>
      <c r="E149" s="4" t="s">
        <v>10</v>
      </c>
      <c r="F149" s="4" t="s">
        <v>12</v>
      </c>
      <c r="G149" s="5">
        <v>141.0</v>
      </c>
    </row>
    <row r="150" ht="22.5" customHeight="1">
      <c r="A150" s="3">
        <v>45031.0</v>
      </c>
      <c r="B150" s="4" t="str">
        <f t="shared" si="1"/>
        <v>T2</v>
      </c>
      <c r="C150" s="4" t="str">
        <f t="shared" si="2"/>
        <v>Sem 1</v>
      </c>
      <c r="D150" s="4" t="s">
        <v>7</v>
      </c>
      <c r="E150" s="4" t="s">
        <v>13</v>
      </c>
      <c r="F150" s="4" t="s">
        <v>14</v>
      </c>
      <c r="G150" s="5">
        <v>95.0</v>
      </c>
    </row>
    <row r="151" ht="22.5" customHeight="1">
      <c r="A151" s="3">
        <v>45032.0</v>
      </c>
      <c r="B151" s="4" t="str">
        <f t="shared" si="1"/>
        <v>T2</v>
      </c>
      <c r="C151" s="4" t="str">
        <f t="shared" si="2"/>
        <v>Sem 1</v>
      </c>
      <c r="D151" s="4" t="s">
        <v>7</v>
      </c>
      <c r="E151" s="4" t="s">
        <v>15</v>
      </c>
      <c r="F151" s="4" t="s">
        <v>16</v>
      </c>
      <c r="G151" s="5">
        <v>91.0</v>
      </c>
    </row>
    <row r="152" ht="22.5" customHeight="1">
      <c r="A152" s="3">
        <v>45032.0</v>
      </c>
      <c r="B152" s="4" t="str">
        <f t="shared" si="1"/>
        <v>T2</v>
      </c>
      <c r="C152" s="4" t="str">
        <f t="shared" si="2"/>
        <v>Sem 1</v>
      </c>
      <c r="D152" s="4" t="s">
        <v>7</v>
      </c>
      <c r="E152" s="4" t="s">
        <v>13</v>
      </c>
      <c r="F152" s="4" t="s">
        <v>17</v>
      </c>
      <c r="G152" s="5">
        <v>179.0</v>
      </c>
    </row>
    <row r="153" ht="22.5" customHeight="1">
      <c r="A153" s="3">
        <v>45033.0</v>
      </c>
      <c r="B153" s="4" t="str">
        <f t="shared" si="1"/>
        <v>T2</v>
      </c>
      <c r="C153" s="4" t="str">
        <f t="shared" si="2"/>
        <v>Sem 1</v>
      </c>
      <c r="D153" s="4" t="s">
        <v>7</v>
      </c>
      <c r="E153" s="4" t="s">
        <v>13</v>
      </c>
      <c r="F153" s="4" t="s">
        <v>18</v>
      </c>
      <c r="G153" s="5">
        <v>33.0</v>
      </c>
    </row>
    <row r="154" ht="22.5" customHeight="1">
      <c r="A154" s="3">
        <v>45034.0</v>
      </c>
      <c r="B154" s="4" t="str">
        <f t="shared" si="1"/>
        <v>T2</v>
      </c>
      <c r="C154" s="4" t="str">
        <f t="shared" si="2"/>
        <v>Sem 1</v>
      </c>
      <c r="D154" s="4" t="s">
        <v>7</v>
      </c>
      <c r="E154" s="4" t="s">
        <v>13</v>
      </c>
      <c r="F154" s="4" t="s">
        <v>14</v>
      </c>
      <c r="G154" s="5">
        <v>37.0</v>
      </c>
    </row>
    <row r="155" ht="22.5" customHeight="1">
      <c r="A155" s="3">
        <v>45035.0</v>
      </c>
      <c r="B155" s="4" t="str">
        <f t="shared" si="1"/>
        <v>T2</v>
      </c>
      <c r="C155" s="4" t="str">
        <f t="shared" si="2"/>
        <v>Sem 1</v>
      </c>
      <c r="D155" s="4" t="s">
        <v>7</v>
      </c>
      <c r="E155" s="4" t="s">
        <v>8</v>
      </c>
      <c r="F155" s="4" t="s">
        <v>9</v>
      </c>
      <c r="G155" s="5">
        <v>246.0</v>
      </c>
    </row>
    <row r="156" ht="22.5" customHeight="1">
      <c r="A156" s="3">
        <v>45035.0</v>
      </c>
      <c r="B156" s="4" t="str">
        <f t="shared" si="1"/>
        <v>T2</v>
      </c>
      <c r="C156" s="4" t="str">
        <f t="shared" si="2"/>
        <v>Sem 1</v>
      </c>
      <c r="D156" s="4" t="s">
        <v>7</v>
      </c>
      <c r="E156" s="4" t="s">
        <v>8</v>
      </c>
      <c r="F156" s="4" t="s">
        <v>9</v>
      </c>
      <c r="G156" s="5">
        <v>103.0</v>
      </c>
    </row>
    <row r="157" ht="22.5" customHeight="1">
      <c r="A157" s="3">
        <v>45036.0</v>
      </c>
      <c r="B157" s="4" t="str">
        <f t="shared" si="1"/>
        <v>T2</v>
      </c>
      <c r="C157" s="4" t="str">
        <f t="shared" si="2"/>
        <v>Sem 1</v>
      </c>
      <c r="D157" s="4" t="s">
        <v>7</v>
      </c>
      <c r="E157" s="4" t="s">
        <v>10</v>
      </c>
      <c r="F157" s="4" t="s">
        <v>11</v>
      </c>
      <c r="G157" s="5">
        <v>106.0</v>
      </c>
    </row>
    <row r="158" ht="22.5" customHeight="1">
      <c r="A158" s="3">
        <v>45036.0</v>
      </c>
      <c r="B158" s="4" t="str">
        <f t="shared" si="1"/>
        <v>T2</v>
      </c>
      <c r="C158" s="4" t="str">
        <f t="shared" si="2"/>
        <v>Sem 1</v>
      </c>
      <c r="D158" s="4" t="s">
        <v>7</v>
      </c>
      <c r="E158" s="4" t="s">
        <v>10</v>
      </c>
      <c r="F158" s="4" t="s">
        <v>12</v>
      </c>
      <c r="G158" s="5">
        <v>67.0</v>
      </c>
    </row>
    <row r="159" ht="22.5" customHeight="1">
      <c r="A159" s="3">
        <v>45037.0</v>
      </c>
      <c r="B159" s="4" t="str">
        <f t="shared" si="1"/>
        <v>T2</v>
      </c>
      <c r="C159" s="4" t="str">
        <f t="shared" si="2"/>
        <v>Sem 1</v>
      </c>
      <c r="D159" s="4" t="s">
        <v>7</v>
      </c>
      <c r="E159" s="4" t="s">
        <v>13</v>
      </c>
      <c r="F159" s="4" t="s">
        <v>14</v>
      </c>
      <c r="G159" s="5">
        <v>123.0</v>
      </c>
    </row>
    <row r="160" ht="22.5" customHeight="1">
      <c r="A160" s="3">
        <v>45038.0</v>
      </c>
      <c r="B160" s="4" t="str">
        <f t="shared" si="1"/>
        <v>T2</v>
      </c>
      <c r="C160" s="4" t="str">
        <f t="shared" si="2"/>
        <v>Sem 1</v>
      </c>
      <c r="D160" s="4" t="s">
        <v>7</v>
      </c>
      <c r="E160" s="4" t="s">
        <v>15</v>
      </c>
      <c r="F160" s="4" t="s">
        <v>16</v>
      </c>
      <c r="G160" s="5">
        <v>102.0</v>
      </c>
    </row>
    <row r="161" ht="22.5" customHeight="1">
      <c r="A161" s="3">
        <v>45040.0</v>
      </c>
      <c r="B161" s="4" t="str">
        <f t="shared" si="1"/>
        <v>T2</v>
      </c>
      <c r="C161" s="4" t="str">
        <f t="shared" si="2"/>
        <v>Sem 1</v>
      </c>
      <c r="D161" s="4" t="s">
        <v>7</v>
      </c>
      <c r="E161" s="4" t="s">
        <v>13</v>
      </c>
      <c r="F161" s="4" t="s">
        <v>17</v>
      </c>
      <c r="G161" s="5">
        <v>74.0</v>
      </c>
    </row>
    <row r="162" ht="22.5" customHeight="1">
      <c r="A162" s="3">
        <v>45040.0</v>
      </c>
      <c r="B162" s="4" t="str">
        <f t="shared" si="1"/>
        <v>T2</v>
      </c>
      <c r="C162" s="4" t="str">
        <f t="shared" si="2"/>
        <v>Sem 1</v>
      </c>
      <c r="D162" s="4" t="s">
        <v>7</v>
      </c>
      <c r="E162" s="4" t="s">
        <v>13</v>
      </c>
      <c r="F162" s="4" t="s">
        <v>18</v>
      </c>
      <c r="G162" s="5">
        <v>25.0</v>
      </c>
    </row>
    <row r="163" ht="22.5" customHeight="1">
      <c r="A163" s="3">
        <v>45042.0</v>
      </c>
      <c r="B163" s="4" t="str">
        <f t="shared" si="1"/>
        <v>T2</v>
      </c>
      <c r="C163" s="4" t="str">
        <f t="shared" si="2"/>
        <v>Sem 1</v>
      </c>
      <c r="D163" s="4" t="s">
        <v>21</v>
      </c>
      <c r="E163" s="4" t="s">
        <v>22</v>
      </c>
      <c r="F163" s="4" t="s">
        <v>23</v>
      </c>
      <c r="G163" s="5">
        <v>3000.0</v>
      </c>
    </row>
    <row r="164" ht="22.5" customHeight="1">
      <c r="A164" s="3">
        <v>45042.0</v>
      </c>
      <c r="B164" s="4" t="str">
        <f t="shared" si="1"/>
        <v>T2</v>
      </c>
      <c r="C164" s="4" t="str">
        <f t="shared" si="2"/>
        <v>Sem 1</v>
      </c>
      <c r="D164" s="4" t="s">
        <v>21</v>
      </c>
      <c r="E164" s="4" t="s">
        <v>24</v>
      </c>
      <c r="F164" s="4" t="s">
        <v>25</v>
      </c>
      <c r="G164" s="5">
        <v>3000.0</v>
      </c>
    </row>
    <row r="165" ht="22.5" customHeight="1">
      <c r="A165" s="3">
        <v>45043.0</v>
      </c>
      <c r="B165" s="4" t="str">
        <f t="shared" si="1"/>
        <v>T2</v>
      </c>
      <c r="C165" s="4" t="str">
        <f t="shared" si="2"/>
        <v>Sem 1</v>
      </c>
      <c r="D165" s="4" t="s">
        <v>7</v>
      </c>
      <c r="E165" s="4" t="s">
        <v>8</v>
      </c>
      <c r="F165" s="4" t="s">
        <v>26</v>
      </c>
      <c r="G165" s="5">
        <v>148.0</v>
      </c>
    </row>
    <row r="166" ht="22.5" customHeight="1">
      <c r="A166" s="3">
        <v>45043.0</v>
      </c>
      <c r="B166" s="4" t="str">
        <f t="shared" si="1"/>
        <v>T2</v>
      </c>
      <c r="C166" s="4" t="str">
        <f t="shared" si="2"/>
        <v>Sem 1</v>
      </c>
      <c r="D166" s="4" t="s">
        <v>7</v>
      </c>
      <c r="E166" s="4" t="s">
        <v>8</v>
      </c>
      <c r="F166" s="4" t="s">
        <v>27</v>
      </c>
      <c r="G166" s="5">
        <v>150.0</v>
      </c>
    </row>
    <row r="167" ht="22.5" customHeight="1">
      <c r="A167" s="3">
        <v>45044.0</v>
      </c>
      <c r="B167" s="4" t="str">
        <f t="shared" si="1"/>
        <v>T2</v>
      </c>
      <c r="C167" s="4" t="str">
        <f t="shared" si="2"/>
        <v>Sem 1</v>
      </c>
      <c r="D167" s="4" t="s">
        <v>7</v>
      </c>
      <c r="E167" s="4" t="s">
        <v>8</v>
      </c>
      <c r="F167" s="4" t="s">
        <v>9</v>
      </c>
      <c r="G167" s="5">
        <v>131.0</v>
      </c>
    </row>
    <row r="168" ht="22.5" customHeight="1">
      <c r="A168" s="3">
        <v>45045.0</v>
      </c>
      <c r="B168" s="4" t="str">
        <f t="shared" si="1"/>
        <v>T2</v>
      </c>
      <c r="C168" s="4" t="str">
        <f t="shared" si="2"/>
        <v>Sem 1</v>
      </c>
      <c r="D168" s="4" t="s">
        <v>7</v>
      </c>
      <c r="E168" s="4" t="s">
        <v>8</v>
      </c>
      <c r="F168" s="4" t="s">
        <v>28</v>
      </c>
      <c r="G168" s="5">
        <v>80.0</v>
      </c>
    </row>
    <row r="169" ht="22.5" customHeight="1">
      <c r="A169" s="3">
        <v>45045.0</v>
      </c>
      <c r="B169" s="4" t="str">
        <f t="shared" si="1"/>
        <v>T2</v>
      </c>
      <c r="C169" s="4" t="str">
        <f t="shared" si="2"/>
        <v>Sem 1</v>
      </c>
      <c r="D169" s="4" t="s">
        <v>7</v>
      </c>
      <c r="E169" s="4" t="s">
        <v>8</v>
      </c>
      <c r="F169" s="4" t="s">
        <v>28</v>
      </c>
      <c r="G169" s="5">
        <v>80.0</v>
      </c>
    </row>
    <row r="170" ht="22.5" customHeight="1">
      <c r="A170" s="3">
        <v>45045.0</v>
      </c>
      <c r="B170" s="4" t="str">
        <f t="shared" si="1"/>
        <v>T2</v>
      </c>
      <c r="C170" s="4" t="str">
        <f t="shared" si="2"/>
        <v>Sem 1</v>
      </c>
      <c r="D170" s="4" t="s">
        <v>7</v>
      </c>
      <c r="E170" s="4" t="s">
        <v>8</v>
      </c>
      <c r="F170" s="4" t="s">
        <v>29</v>
      </c>
      <c r="G170" s="5">
        <v>75.0</v>
      </c>
    </row>
    <row r="171" ht="22.5" customHeight="1">
      <c r="A171" s="3">
        <v>45045.0</v>
      </c>
      <c r="B171" s="4" t="str">
        <f t="shared" si="1"/>
        <v>T2</v>
      </c>
      <c r="C171" s="4" t="str">
        <f t="shared" si="2"/>
        <v>Sem 1</v>
      </c>
      <c r="D171" s="4" t="s">
        <v>7</v>
      </c>
      <c r="E171" s="4" t="s">
        <v>8</v>
      </c>
      <c r="F171" s="4" t="s">
        <v>30</v>
      </c>
      <c r="G171" s="5">
        <v>120.0</v>
      </c>
    </row>
    <row r="172" ht="22.5" customHeight="1">
      <c r="A172" s="3">
        <v>45045.0</v>
      </c>
      <c r="B172" s="4" t="str">
        <f t="shared" si="1"/>
        <v>T2</v>
      </c>
      <c r="C172" s="4" t="str">
        <f t="shared" si="2"/>
        <v>Sem 1</v>
      </c>
      <c r="D172" s="4" t="s">
        <v>7</v>
      </c>
      <c r="E172" s="4" t="s">
        <v>13</v>
      </c>
      <c r="F172" s="4" t="s">
        <v>31</v>
      </c>
      <c r="G172" s="5">
        <v>60.0</v>
      </c>
    </row>
    <row r="173" ht="22.5" customHeight="1">
      <c r="A173" s="3">
        <v>45046.0</v>
      </c>
      <c r="B173" s="4" t="str">
        <f t="shared" si="1"/>
        <v>T2</v>
      </c>
      <c r="C173" s="4" t="str">
        <f t="shared" si="2"/>
        <v>Sem 1</v>
      </c>
      <c r="D173" s="4" t="s">
        <v>7</v>
      </c>
      <c r="E173" s="4" t="s">
        <v>15</v>
      </c>
      <c r="F173" s="4" t="s">
        <v>32</v>
      </c>
      <c r="G173" s="5">
        <v>50.0</v>
      </c>
    </row>
    <row r="174" ht="22.5" customHeight="1">
      <c r="A174" s="3">
        <v>45048.0</v>
      </c>
      <c r="B174" s="4" t="str">
        <f t="shared" si="1"/>
        <v>T2</v>
      </c>
      <c r="C174" s="4" t="str">
        <f t="shared" si="2"/>
        <v>Sem 1</v>
      </c>
      <c r="D174" s="4" t="s">
        <v>7</v>
      </c>
      <c r="E174" s="4" t="s">
        <v>8</v>
      </c>
      <c r="F174" s="4" t="s">
        <v>9</v>
      </c>
      <c r="G174" s="5">
        <v>135.0</v>
      </c>
    </row>
    <row r="175" ht="22.5" customHeight="1">
      <c r="A175" s="3">
        <v>45049.0</v>
      </c>
      <c r="B175" s="4" t="str">
        <f t="shared" si="1"/>
        <v>T2</v>
      </c>
      <c r="C175" s="4" t="str">
        <f t="shared" si="2"/>
        <v>Sem 1</v>
      </c>
      <c r="D175" s="4" t="s">
        <v>7</v>
      </c>
      <c r="E175" s="4" t="s">
        <v>10</v>
      </c>
      <c r="F175" s="4" t="s">
        <v>11</v>
      </c>
      <c r="G175" s="5">
        <v>199.0</v>
      </c>
    </row>
    <row r="176" ht="22.5" customHeight="1">
      <c r="A176" s="3">
        <v>45049.0</v>
      </c>
      <c r="B176" s="4" t="str">
        <f t="shared" si="1"/>
        <v>T2</v>
      </c>
      <c r="C176" s="4" t="str">
        <f t="shared" si="2"/>
        <v>Sem 1</v>
      </c>
      <c r="D176" s="4" t="s">
        <v>7</v>
      </c>
      <c r="E176" s="4" t="s">
        <v>10</v>
      </c>
      <c r="F176" s="4" t="s">
        <v>12</v>
      </c>
      <c r="G176" s="5">
        <v>63.0</v>
      </c>
    </row>
    <row r="177" ht="22.5" customHeight="1">
      <c r="A177" s="3">
        <v>45049.0</v>
      </c>
      <c r="B177" s="4" t="str">
        <f t="shared" si="1"/>
        <v>T2</v>
      </c>
      <c r="C177" s="4" t="str">
        <f t="shared" si="2"/>
        <v>Sem 1</v>
      </c>
      <c r="D177" s="4" t="s">
        <v>7</v>
      </c>
      <c r="E177" s="4" t="s">
        <v>13</v>
      </c>
      <c r="F177" s="4" t="s">
        <v>14</v>
      </c>
      <c r="G177" s="5">
        <v>25.0</v>
      </c>
    </row>
    <row r="178" ht="22.5" customHeight="1">
      <c r="A178" s="3">
        <v>45049.0</v>
      </c>
      <c r="B178" s="4" t="str">
        <f t="shared" si="1"/>
        <v>T2</v>
      </c>
      <c r="C178" s="4" t="str">
        <f t="shared" si="2"/>
        <v>Sem 1</v>
      </c>
      <c r="D178" s="4" t="s">
        <v>7</v>
      </c>
      <c r="E178" s="4" t="s">
        <v>15</v>
      </c>
      <c r="F178" s="4" t="s">
        <v>16</v>
      </c>
      <c r="G178" s="5">
        <v>67.0</v>
      </c>
    </row>
    <row r="179" ht="22.5" customHeight="1">
      <c r="A179" s="3">
        <v>45049.0</v>
      </c>
      <c r="B179" s="4" t="str">
        <f t="shared" si="1"/>
        <v>T2</v>
      </c>
      <c r="C179" s="4" t="str">
        <f t="shared" si="2"/>
        <v>Sem 1</v>
      </c>
      <c r="D179" s="4" t="s">
        <v>7</v>
      </c>
      <c r="E179" s="4" t="s">
        <v>13</v>
      </c>
      <c r="F179" s="4" t="s">
        <v>17</v>
      </c>
      <c r="G179" s="5">
        <v>152.0</v>
      </c>
    </row>
    <row r="180" ht="22.5" customHeight="1">
      <c r="A180" s="3">
        <v>45050.0</v>
      </c>
      <c r="B180" s="4" t="str">
        <f t="shared" si="1"/>
        <v>T2</v>
      </c>
      <c r="C180" s="4" t="str">
        <f t="shared" si="2"/>
        <v>Sem 1</v>
      </c>
      <c r="D180" s="4" t="s">
        <v>7</v>
      </c>
      <c r="E180" s="4" t="s">
        <v>13</v>
      </c>
      <c r="F180" s="4" t="s">
        <v>18</v>
      </c>
      <c r="G180" s="5">
        <v>24.0</v>
      </c>
    </row>
    <row r="181" ht="22.5" customHeight="1">
      <c r="A181" s="3">
        <v>45051.0</v>
      </c>
      <c r="B181" s="4" t="str">
        <f t="shared" si="1"/>
        <v>T2</v>
      </c>
      <c r="C181" s="4" t="str">
        <f t="shared" si="2"/>
        <v>Sem 1</v>
      </c>
      <c r="D181" s="4" t="s">
        <v>7</v>
      </c>
      <c r="E181" s="4" t="s">
        <v>13</v>
      </c>
      <c r="F181" s="4" t="s">
        <v>14</v>
      </c>
      <c r="G181" s="5">
        <v>37.0</v>
      </c>
    </row>
    <row r="182" ht="22.5" customHeight="1">
      <c r="A182" s="3">
        <v>45051.0</v>
      </c>
      <c r="B182" s="4" t="str">
        <f t="shared" si="1"/>
        <v>T2</v>
      </c>
      <c r="C182" s="4" t="str">
        <f t="shared" si="2"/>
        <v>Sem 1</v>
      </c>
      <c r="D182" s="4" t="s">
        <v>7</v>
      </c>
      <c r="E182" s="4" t="s">
        <v>19</v>
      </c>
      <c r="F182" s="4" t="s">
        <v>20</v>
      </c>
      <c r="G182" s="5">
        <v>30.0</v>
      </c>
    </row>
    <row r="183" ht="22.5" customHeight="1">
      <c r="A183" s="3">
        <v>45051.0</v>
      </c>
      <c r="B183" s="4" t="str">
        <f t="shared" si="1"/>
        <v>T2</v>
      </c>
      <c r="C183" s="4" t="str">
        <f t="shared" si="2"/>
        <v>Sem 1</v>
      </c>
      <c r="D183" s="4" t="s">
        <v>7</v>
      </c>
      <c r="E183" s="4" t="s">
        <v>8</v>
      </c>
      <c r="F183" s="4" t="s">
        <v>9</v>
      </c>
      <c r="G183" s="5">
        <v>172.0</v>
      </c>
    </row>
    <row r="184" ht="22.5" customHeight="1">
      <c r="A184" s="3">
        <v>45051.0</v>
      </c>
      <c r="B184" s="4" t="str">
        <f t="shared" si="1"/>
        <v>T2</v>
      </c>
      <c r="C184" s="4" t="str">
        <f t="shared" si="2"/>
        <v>Sem 1</v>
      </c>
      <c r="D184" s="4" t="s">
        <v>7</v>
      </c>
      <c r="E184" s="4" t="s">
        <v>10</v>
      </c>
      <c r="F184" s="4" t="s">
        <v>11</v>
      </c>
      <c r="G184" s="5">
        <v>129.0</v>
      </c>
    </row>
    <row r="185" ht="22.5" customHeight="1">
      <c r="A185" s="3">
        <v>45052.0</v>
      </c>
      <c r="B185" s="4" t="str">
        <f t="shared" si="1"/>
        <v>T2</v>
      </c>
      <c r="C185" s="4" t="str">
        <f t="shared" si="2"/>
        <v>Sem 1</v>
      </c>
      <c r="D185" s="4" t="s">
        <v>7</v>
      </c>
      <c r="E185" s="4" t="s">
        <v>10</v>
      </c>
      <c r="F185" s="4" t="s">
        <v>12</v>
      </c>
      <c r="G185" s="5">
        <v>107.0</v>
      </c>
    </row>
    <row r="186" ht="22.5" customHeight="1">
      <c r="A186" s="3">
        <v>45052.0</v>
      </c>
      <c r="B186" s="4" t="str">
        <f t="shared" si="1"/>
        <v>T2</v>
      </c>
      <c r="C186" s="4" t="str">
        <f t="shared" si="2"/>
        <v>Sem 1</v>
      </c>
      <c r="D186" s="4" t="s">
        <v>7</v>
      </c>
      <c r="E186" s="4" t="s">
        <v>13</v>
      </c>
      <c r="F186" s="4" t="s">
        <v>14</v>
      </c>
      <c r="G186" s="5">
        <v>96.0</v>
      </c>
    </row>
    <row r="187" ht="22.5" customHeight="1">
      <c r="A187" s="3">
        <v>45052.0</v>
      </c>
      <c r="B187" s="4" t="str">
        <f t="shared" si="1"/>
        <v>T2</v>
      </c>
      <c r="C187" s="4" t="str">
        <f t="shared" si="2"/>
        <v>Sem 1</v>
      </c>
      <c r="D187" s="4" t="s">
        <v>7</v>
      </c>
      <c r="E187" s="4" t="s">
        <v>15</v>
      </c>
      <c r="F187" s="4" t="s">
        <v>16</v>
      </c>
      <c r="G187" s="5">
        <v>122.0</v>
      </c>
    </row>
    <row r="188" ht="22.5" customHeight="1">
      <c r="A188" s="3">
        <v>45053.0</v>
      </c>
      <c r="B188" s="4" t="str">
        <f t="shared" si="1"/>
        <v>T2</v>
      </c>
      <c r="C188" s="4" t="str">
        <f t="shared" si="2"/>
        <v>Sem 1</v>
      </c>
      <c r="D188" s="4" t="s">
        <v>7</v>
      </c>
      <c r="E188" s="4" t="s">
        <v>13</v>
      </c>
      <c r="F188" s="4" t="s">
        <v>17</v>
      </c>
      <c r="G188" s="5">
        <v>72.0</v>
      </c>
    </row>
    <row r="189" ht="22.5" customHeight="1">
      <c r="A189" s="3">
        <v>45053.0</v>
      </c>
      <c r="B189" s="4" t="str">
        <f t="shared" si="1"/>
        <v>T2</v>
      </c>
      <c r="C189" s="4" t="str">
        <f t="shared" si="2"/>
        <v>Sem 1</v>
      </c>
      <c r="D189" s="4" t="s">
        <v>7</v>
      </c>
      <c r="E189" s="4" t="s">
        <v>13</v>
      </c>
      <c r="F189" s="4" t="s">
        <v>18</v>
      </c>
      <c r="G189" s="5">
        <v>32.0</v>
      </c>
    </row>
    <row r="190" ht="22.5" customHeight="1">
      <c r="A190" s="3">
        <v>45054.0</v>
      </c>
      <c r="B190" s="4" t="str">
        <f t="shared" si="1"/>
        <v>T2</v>
      </c>
      <c r="C190" s="4" t="str">
        <f t="shared" si="2"/>
        <v>Sem 1</v>
      </c>
      <c r="D190" s="4" t="s">
        <v>7</v>
      </c>
      <c r="E190" s="4" t="s">
        <v>13</v>
      </c>
      <c r="F190" s="4" t="s">
        <v>14</v>
      </c>
      <c r="G190" s="5">
        <v>27.0</v>
      </c>
    </row>
    <row r="191" ht="22.5" customHeight="1">
      <c r="A191" s="3">
        <v>45054.0</v>
      </c>
      <c r="B191" s="4" t="str">
        <f t="shared" si="1"/>
        <v>T2</v>
      </c>
      <c r="C191" s="4" t="str">
        <f t="shared" si="2"/>
        <v>Sem 1</v>
      </c>
      <c r="D191" s="4" t="s">
        <v>7</v>
      </c>
      <c r="E191" s="4" t="s">
        <v>8</v>
      </c>
      <c r="F191" s="4" t="s">
        <v>9</v>
      </c>
      <c r="G191" s="5">
        <v>146.0</v>
      </c>
    </row>
    <row r="192" ht="22.5" customHeight="1">
      <c r="A192" s="3">
        <v>45054.0</v>
      </c>
      <c r="B192" s="4" t="str">
        <f t="shared" si="1"/>
        <v>T2</v>
      </c>
      <c r="C192" s="4" t="str">
        <f t="shared" si="2"/>
        <v>Sem 1</v>
      </c>
      <c r="D192" s="4" t="s">
        <v>7</v>
      </c>
      <c r="E192" s="4" t="s">
        <v>8</v>
      </c>
      <c r="F192" s="4" t="s">
        <v>9</v>
      </c>
      <c r="G192" s="5">
        <v>217.0</v>
      </c>
    </row>
    <row r="193" ht="22.5" customHeight="1">
      <c r="A193" s="3">
        <v>45054.0</v>
      </c>
      <c r="B193" s="4" t="str">
        <f t="shared" si="1"/>
        <v>T2</v>
      </c>
      <c r="C193" s="4" t="str">
        <f t="shared" si="2"/>
        <v>Sem 1</v>
      </c>
      <c r="D193" s="4" t="s">
        <v>7</v>
      </c>
      <c r="E193" s="4" t="s">
        <v>10</v>
      </c>
      <c r="F193" s="4" t="s">
        <v>11</v>
      </c>
      <c r="G193" s="5">
        <v>72.0</v>
      </c>
    </row>
    <row r="194" ht="22.5" customHeight="1">
      <c r="A194" s="3">
        <v>45054.0</v>
      </c>
      <c r="B194" s="4" t="str">
        <f t="shared" si="1"/>
        <v>T2</v>
      </c>
      <c r="C194" s="4" t="str">
        <f t="shared" si="2"/>
        <v>Sem 1</v>
      </c>
      <c r="D194" s="4" t="s">
        <v>7</v>
      </c>
      <c r="E194" s="4" t="s">
        <v>10</v>
      </c>
      <c r="F194" s="4" t="s">
        <v>12</v>
      </c>
      <c r="G194" s="5">
        <v>112.0</v>
      </c>
    </row>
    <row r="195" ht="22.5" customHeight="1">
      <c r="A195" s="3">
        <v>45055.0</v>
      </c>
      <c r="B195" s="4" t="str">
        <f t="shared" si="1"/>
        <v>T2</v>
      </c>
      <c r="C195" s="4" t="str">
        <f t="shared" si="2"/>
        <v>Sem 1</v>
      </c>
      <c r="D195" s="4" t="s">
        <v>7</v>
      </c>
      <c r="E195" s="4" t="s">
        <v>13</v>
      </c>
      <c r="F195" s="4" t="s">
        <v>14</v>
      </c>
      <c r="G195" s="5">
        <v>39.0</v>
      </c>
    </row>
    <row r="196" ht="22.5" customHeight="1">
      <c r="A196" s="3">
        <v>45056.0</v>
      </c>
      <c r="B196" s="4" t="str">
        <f t="shared" si="1"/>
        <v>T2</v>
      </c>
      <c r="C196" s="4" t="str">
        <f t="shared" si="2"/>
        <v>Sem 1</v>
      </c>
      <c r="D196" s="4" t="s">
        <v>7</v>
      </c>
      <c r="E196" s="4" t="s">
        <v>15</v>
      </c>
      <c r="F196" s="4" t="s">
        <v>16</v>
      </c>
      <c r="G196" s="5">
        <v>163.0</v>
      </c>
    </row>
    <row r="197" ht="22.5" customHeight="1">
      <c r="A197" s="3">
        <v>45057.0</v>
      </c>
      <c r="B197" s="4" t="str">
        <f t="shared" si="1"/>
        <v>T2</v>
      </c>
      <c r="C197" s="4" t="str">
        <f t="shared" si="2"/>
        <v>Sem 1</v>
      </c>
      <c r="D197" s="4" t="s">
        <v>7</v>
      </c>
      <c r="E197" s="4" t="s">
        <v>13</v>
      </c>
      <c r="F197" s="4" t="s">
        <v>17</v>
      </c>
      <c r="G197" s="5">
        <v>86.0</v>
      </c>
    </row>
    <row r="198" ht="22.5" customHeight="1">
      <c r="A198" s="3">
        <v>45057.0</v>
      </c>
      <c r="B198" s="4" t="str">
        <f t="shared" si="1"/>
        <v>T2</v>
      </c>
      <c r="C198" s="4" t="str">
        <f t="shared" si="2"/>
        <v>Sem 1</v>
      </c>
      <c r="D198" s="4" t="s">
        <v>7</v>
      </c>
      <c r="E198" s="4" t="s">
        <v>13</v>
      </c>
      <c r="F198" s="4" t="s">
        <v>18</v>
      </c>
      <c r="G198" s="5">
        <v>31.0</v>
      </c>
    </row>
    <row r="199" ht="22.5" customHeight="1">
      <c r="A199" s="3">
        <v>45058.0</v>
      </c>
      <c r="B199" s="4" t="str">
        <f t="shared" si="1"/>
        <v>T2</v>
      </c>
      <c r="C199" s="4" t="str">
        <f t="shared" si="2"/>
        <v>Sem 1</v>
      </c>
      <c r="D199" s="4" t="s">
        <v>7</v>
      </c>
      <c r="E199" s="4" t="s">
        <v>13</v>
      </c>
      <c r="F199" s="4" t="s">
        <v>14</v>
      </c>
      <c r="G199" s="5">
        <v>135.0</v>
      </c>
    </row>
    <row r="200" ht="22.5" customHeight="1">
      <c r="A200" s="3">
        <v>45058.0</v>
      </c>
      <c r="B200" s="4" t="str">
        <f t="shared" si="1"/>
        <v>T2</v>
      </c>
      <c r="C200" s="4" t="str">
        <f t="shared" si="2"/>
        <v>Sem 1</v>
      </c>
      <c r="D200" s="4" t="s">
        <v>7</v>
      </c>
      <c r="E200" s="4" t="s">
        <v>8</v>
      </c>
      <c r="F200" s="4" t="s">
        <v>9</v>
      </c>
      <c r="G200" s="5">
        <v>255.0</v>
      </c>
    </row>
    <row r="201" ht="22.5" customHeight="1">
      <c r="A201" s="3">
        <v>45059.0</v>
      </c>
      <c r="B201" s="4" t="str">
        <f t="shared" si="1"/>
        <v>T2</v>
      </c>
      <c r="C201" s="4" t="str">
        <f t="shared" si="2"/>
        <v>Sem 1</v>
      </c>
      <c r="D201" s="4" t="s">
        <v>7</v>
      </c>
      <c r="E201" s="4" t="s">
        <v>8</v>
      </c>
      <c r="F201" s="4" t="s">
        <v>9</v>
      </c>
      <c r="G201" s="5">
        <v>195.0</v>
      </c>
    </row>
    <row r="202" ht="22.5" customHeight="1">
      <c r="A202" s="3">
        <v>45060.0</v>
      </c>
      <c r="B202" s="4" t="str">
        <f t="shared" si="1"/>
        <v>T2</v>
      </c>
      <c r="C202" s="4" t="str">
        <f t="shared" si="2"/>
        <v>Sem 1</v>
      </c>
      <c r="D202" s="4" t="s">
        <v>7</v>
      </c>
      <c r="E202" s="4" t="s">
        <v>10</v>
      </c>
      <c r="F202" s="4" t="s">
        <v>11</v>
      </c>
      <c r="G202" s="5">
        <v>64.0</v>
      </c>
    </row>
    <row r="203" ht="22.5" customHeight="1">
      <c r="A203" s="3">
        <v>45061.0</v>
      </c>
      <c r="B203" s="4" t="str">
        <f t="shared" si="1"/>
        <v>T2</v>
      </c>
      <c r="C203" s="4" t="str">
        <f t="shared" si="2"/>
        <v>Sem 1</v>
      </c>
      <c r="D203" s="4" t="s">
        <v>7</v>
      </c>
      <c r="E203" s="4" t="s">
        <v>10</v>
      </c>
      <c r="F203" s="4" t="s">
        <v>12</v>
      </c>
      <c r="G203" s="5">
        <v>104.0</v>
      </c>
    </row>
    <row r="204" ht="22.5" customHeight="1">
      <c r="A204" s="3">
        <v>45062.0</v>
      </c>
      <c r="B204" s="4" t="str">
        <f t="shared" si="1"/>
        <v>T2</v>
      </c>
      <c r="C204" s="4" t="str">
        <f t="shared" si="2"/>
        <v>Sem 1</v>
      </c>
      <c r="D204" s="4" t="s">
        <v>7</v>
      </c>
      <c r="E204" s="4" t="s">
        <v>13</v>
      </c>
      <c r="F204" s="4" t="s">
        <v>14</v>
      </c>
      <c r="G204" s="5">
        <v>149.0</v>
      </c>
    </row>
    <row r="205" ht="22.5" customHeight="1">
      <c r="A205" s="3">
        <v>45063.0</v>
      </c>
      <c r="B205" s="4" t="str">
        <f t="shared" si="1"/>
        <v>T2</v>
      </c>
      <c r="C205" s="4" t="str">
        <f t="shared" si="2"/>
        <v>Sem 1</v>
      </c>
      <c r="D205" s="4" t="s">
        <v>7</v>
      </c>
      <c r="E205" s="4" t="s">
        <v>15</v>
      </c>
      <c r="F205" s="4" t="s">
        <v>16</v>
      </c>
      <c r="G205" s="5">
        <v>193.0</v>
      </c>
    </row>
    <row r="206" ht="22.5" customHeight="1">
      <c r="A206" s="3">
        <v>45064.0</v>
      </c>
      <c r="B206" s="4" t="str">
        <f t="shared" si="1"/>
        <v>T2</v>
      </c>
      <c r="C206" s="4" t="str">
        <f t="shared" si="2"/>
        <v>Sem 1</v>
      </c>
      <c r="D206" s="4" t="s">
        <v>7</v>
      </c>
      <c r="E206" s="4" t="s">
        <v>13</v>
      </c>
      <c r="F206" s="4" t="s">
        <v>17</v>
      </c>
      <c r="G206" s="5">
        <v>60.0</v>
      </c>
    </row>
    <row r="207" ht="22.5" customHeight="1">
      <c r="A207" s="3">
        <v>45064.0</v>
      </c>
      <c r="B207" s="4" t="str">
        <f t="shared" si="1"/>
        <v>T2</v>
      </c>
      <c r="C207" s="4" t="str">
        <f t="shared" si="2"/>
        <v>Sem 1</v>
      </c>
      <c r="D207" s="4" t="s">
        <v>7</v>
      </c>
      <c r="E207" s="4" t="s">
        <v>13</v>
      </c>
      <c r="F207" s="4" t="s">
        <v>18</v>
      </c>
      <c r="G207" s="5">
        <v>10.0</v>
      </c>
    </row>
    <row r="208" ht="22.5" customHeight="1">
      <c r="A208" s="3">
        <v>45065.0</v>
      </c>
      <c r="B208" s="4" t="str">
        <f t="shared" si="1"/>
        <v>T2</v>
      </c>
      <c r="C208" s="4" t="str">
        <f t="shared" si="2"/>
        <v>Sem 1</v>
      </c>
      <c r="D208" s="4" t="s">
        <v>7</v>
      </c>
      <c r="E208" s="4" t="s">
        <v>19</v>
      </c>
      <c r="F208" s="4" t="s">
        <v>33</v>
      </c>
      <c r="G208" s="5">
        <v>167.0</v>
      </c>
    </row>
    <row r="209" ht="22.5" customHeight="1">
      <c r="A209" s="3">
        <v>45065.0</v>
      </c>
      <c r="B209" s="4" t="str">
        <f t="shared" si="1"/>
        <v>T2</v>
      </c>
      <c r="C209" s="4" t="str">
        <f t="shared" si="2"/>
        <v>Sem 1</v>
      </c>
      <c r="D209" s="4" t="s">
        <v>7</v>
      </c>
      <c r="E209" s="4" t="s">
        <v>8</v>
      </c>
      <c r="F209" s="4" t="s">
        <v>9</v>
      </c>
      <c r="G209" s="5">
        <v>574.0</v>
      </c>
    </row>
    <row r="210" ht="22.5" customHeight="1">
      <c r="A210" s="3">
        <v>45065.0</v>
      </c>
      <c r="B210" s="4" t="str">
        <f t="shared" si="1"/>
        <v>T2</v>
      </c>
      <c r="C210" s="4" t="str">
        <f t="shared" si="2"/>
        <v>Sem 1</v>
      </c>
      <c r="D210" s="4" t="s">
        <v>7</v>
      </c>
      <c r="E210" s="4" t="s">
        <v>8</v>
      </c>
      <c r="F210" s="4" t="s">
        <v>9</v>
      </c>
      <c r="G210" s="5">
        <v>100.0</v>
      </c>
    </row>
    <row r="211" ht="22.5" customHeight="1">
      <c r="A211" s="3">
        <v>45066.0</v>
      </c>
      <c r="B211" s="4" t="str">
        <f t="shared" si="1"/>
        <v>T2</v>
      </c>
      <c r="C211" s="4" t="str">
        <f t="shared" si="2"/>
        <v>Sem 1</v>
      </c>
      <c r="D211" s="4" t="s">
        <v>7</v>
      </c>
      <c r="E211" s="4" t="s">
        <v>10</v>
      </c>
      <c r="F211" s="4" t="s">
        <v>11</v>
      </c>
      <c r="G211" s="5">
        <v>168.0</v>
      </c>
    </row>
    <row r="212" ht="22.5" customHeight="1">
      <c r="A212" s="3">
        <v>45068.0</v>
      </c>
      <c r="B212" s="4" t="str">
        <f t="shared" si="1"/>
        <v>T2</v>
      </c>
      <c r="C212" s="4" t="str">
        <f t="shared" si="2"/>
        <v>Sem 1</v>
      </c>
      <c r="D212" s="4" t="s">
        <v>7</v>
      </c>
      <c r="E212" s="4" t="s">
        <v>10</v>
      </c>
      <c r="F212" s="4" t="s">
        <v>12</v>
      </c>
      <c r="G212" s="5">
        <v>24.0</v>
      </c>
    </row>
    <row r="213" ht="22.5" customHeight="1">
      <c r="A213" s="3">
        <v>45069.0</v>
      </c>
      <c r="B213" s="4" t="str">
        <f t="shared" si="1"/>
        <v>T2</v>
      </c>
      <c r="C213" s="4" t="str">
        <f t="shared" si="2"/>
        <v>Sem 1</v>
      </c>
      <c r="D213" s="4" t="s">
        <v>7</v>
      </c>
      <c r="E213" s="4" t="s">
        <v>13</v>
      </c>
      <c r="F213" s="4" t="s">
        <v>14</v>
      </c>
      <c r="G213" s="5">
        <v>180.0</v>
      </c>
    </row>
    <row r="214" ht="22.5" customHeight="1">
      <c r="A214" s="3">
        <v>45070.0</v>
      </c>
      <c r="B214" s="4" t="str">
        <f t="shared" si="1"/>
        <v>T2</v>
      </c>
      <c r="C214" s="4" t="str">
        <f t="shared" si="2"/>
        <v>Sem 1</v>
      </c>
      <c r="D214" s="4" t="s">
        <v>7</v>
      </c>
      <c r="E214" s="4" t="s">
        <v>15</v>
      </c>
      <c r="F214" s="4" t="s">
        <v>16</v>
      </c>
      <c r="G214" s="5">
        <v>183.0</v>
      </c>
    </row>
    <row r="215" ht="22.5" customHeight="1">
      <c r="A215" s="3">
        <v>45070.0</v>
      </c>
      <c r="B215" s="4" t="str">
        <f t="shared" si="1"/>
        <v>T2</v>
      </c>
      <c r="C215" s="4" t="str">
        <f t="shared" si="2"/>
        <v>Sem 1</v>
      </c>
      <c r="D215" s="4" t="s">
        <v>7</v>
      </c>
      <c r="E215" s="4" t="s">
        <v>13</v>
      </c>
      <c r="F215" s="4" t="s">
        <v>17</v>
      </c>
      <c r="G215" s="5">
        <v>149.0</v>
      </c>
    </row>
    <row r="216" ht="22.5" customHeight="1">
      <c r="A216" s="3">
        <v>45070.0</v>
      </c>
      <c r="B216" s="4" t="str">
        <f t="shared" si="1"/>
        <v>T2</v>
      </c>
      <c r="C216" s="4" t="str">
        <f t="shared" si="2"/>
        <v>Sem 1</v>
      </c>
      <c r="D216" s="4" t="s">
        <v>21</v>
      </c>
      <c r="E216" s="4" t="s">
        <v>22</v>
      </c>
      <c r="F216" s="4" t="s">
        <v>23</v>
      </c>
      <c r="G216" s="5">
        <v>3000.0</v>
      </c>
    </row>
    <row r="217" ht="22.5" customHeight="1">
      <c r="A217" s="3">
        <v>45071.0</v>
      </c>
      <c r="B217" s="4" t="str">
        <f t="shared" si="1"/>
        <v>T2</v>
      </c>
      <c r="C217" s="4" t="str">
        <f t="shared" si="2"/>
        <v>Sem 1</v>
      </c>
      <c r="D217" s="4" t="s">
        <v>21</v>
      </c>
      <c r="E217" s="4" t="s">
        <v>24</v>
      </c>
      <c r="F217" s="4" t="s">
        <v>25</v>
      </c>
      <c r="G217" s="5">
        <v>2700.0</v>
      </c>
    </row>
    <row r="218" ht="22.5" customHeight="1">
      <c r="A218" s="3">
        <v>45072.0</v>
      </c>
      <c r="B218" s="4" t="str">
        <f t="shared" si="1"/>
        <v>T2</v>
      </c>
      <c r="C218" s="4" t="str">
        <f t="shared" si="2"/>
        <v>Sem 1</v>
      </c>
      <c r="D218" s="4" t="s">
        <v>7</v>
      </c>
      <c r="E218" s="4" t="s">
        <v>8</v>
      </c>
      <c r="F218" s="4" t="s">
        <v>26</v>
      </c>
      <c r="G218" s="5">
        <v>185.0</v>
      </c>
    </row>
    <row r="219" ht="22.5" customHeight="1">
      <c r="A219" s="3">
        <v>45072.0</v>
      </c>
      <c r="B219" s="4" t="str">
        <f t="shared" si="1"/>
        <v>T2</v>
      </c>
      <c r="C219" s="4" t="str">
        <f t="shared" si="2"/>
        <v>Sem 1</v>
      </c>
      <c r="D219" s="4" t="s">
        <v>7</v>
      </c>
      <c r="E219" s="4" t="s">
        <v>8</v>
      </c>
      <c r="F219" s="4" t="s">
        <v>27</v>
      </c>
      <c r="G219" s="5">
        <v>150.0</v>
      </c>
    </row>
    <row r="220" ht="22.5" customHeight="1">
      <c r="A220" s="3">
        <v>45072.0</v>
      </c>
      <c r="B220" s="4" t="str">
        <f t="shared" si="1"/>
        <v>T2</v>
      </c>
      <c r="C220" s="4" t="str">
        <f t="shared" si="2"/>
        <v>Sem 1</v>
      </c>
      <c r="D220" s="4" t="s">
        <v>7</v>
      </c>
      <c r="E220" s="4" t="s">
        <v>8</v>
      </c>
      <c r="F220" s="4" t="s">
        <v>9</v>
      </c>
      <c r="G220" s="5">
        <v>102.0</v>
      </c>
    </row>
    <row r="221" ht="22.5" customHeight="1">
      <c r="A221" s="3">
        <v>45073.0</v>
      </c>
      <c r="B221" s="4" t="str">
        <f t="shared" si="1"/>
        <v>T2</v>
      </c>
      <c r="C221" s="4" t="str">
        <f t="shared" si="2"/>
        <v>Sem 1</v>
      </c>
      <c r="D221" s="4" t="s">
        <v>7</v>
      </c>
      <c r="E221" s="4" t="s">
        <v>8</v>
      </c>
      <c r="F221" s="4" t="s">
        <v>28</v>
      </c>
      <c r="G221" s="5">
        <v>80.0</v>
      </c>
    </row>
    <row r="222" ht="22.5" customHeight="1">
      <c r="A222" s="3">
        <v>45075.0</v>
      </c>
      <c r="B222" s="4" t="str">
        <f t="shared" si="1"/>
        <v>T2</v>
      </c>
      <c r="C222" s="4" t="str">
        <f t="shared" si="2"/>
        <v>Sem 1</v>
      </c>
      <c r="D222" s="4" t="s">
        <v>7</v>
      </c>
      <c r="E222" s="4" t="s">
        <v>8</v>
      </c>
      <c r="F222" s="4" t="s">
        <v>28</v>
      </c>
      <c r="G222" s="5">
        <v>80.0</v>
      </c>
    </row>
    <row r="223" ht="22.5" customHeight="1">
      <c r="A223" s="3">
        <v>45076.0</v>
      </c>
      <c r="B223" s="4" t="str">
        <f t="shared" si="1"/>
        <v>T2</v>
      </c>
      <c r="C223" s="4" t="str">
        <f t="shared" si="2"/>
        <v>Sem 1</v>
      </c>
      <c r="D223" s="4" t="s">
        <v>7</v>
      </c>
      <c r="E223" s="4" t="s">
        <v>8</v>
      </c>
      <c r="F223" s="4" t="s">
        <v>29</v>
      </c>
      <c r="G223" s="5">
        <v>20.0</v>
      </c>
    </row>
    <row r="224" ht="22.5" customHeight="1">
      <c r="A224" s="3">
        <v>45077.0</v>
      </c>
      <c r="B224" s="4" t="str">
        <f t="shared" si="1"/>
        <v>T2</v>
      </c>
      <c r="C224" s="4" t="str">
        <f t="shared" si="2"/>
        <v>Sem 1</v>
      </c>
      <c r="D224" s="4" t="s">
        <v>7</v>
      </c>
      <c r="E224" s="4" t="s">
        <v>8</v>
      </c>
      <c r="F224" s="4" t="s">
        <v>30</v>
      </c>
      <c r="G224" s="5">
        <v>164.0</v>
      </c>
    </row>
    <row r="225" ht="22.5" customHeight="1">
      <c r="A225" s="3">
        <v>45077.0</v>
      </c>
      <c r="B225" s="4" t="str">
        <f t="shared" si="1"/>
        <v>T2</v>
      </c>
      <c r="C225" s="4" t="str">
        <f t="shared" si="2"/>
        <v>Sem 1</v>
      </c>
      <c r="D225" s="4" t="s">
        <v>7</v>
      </c>
      <c r="E225" s="4" t="s">
        <v>13</v>
      </c>
      <c r="F225" s="4" t="s">
        <v>31</v>
      </c>
      <c r="G225" s="5">
        <v>60.0</v>
      </c>
    </row>
    <row r="226" ht="22.5" customHeight="1">
      <c r="A226" s="3">
        <v>45077.0</v>
      </c>
      <c r="B226" s="4" t="str">
        <f t="shared" si="1"/>
        <v>T2</v>
      </c>
      <c r="C226" s="4" t="str">
        <f t="shared" si="2"/>
        <v>Sem 1</v>
      </c>
      <c r="D226" s="4" t="s">
        <v>7</v>
      </c>
      <c r="E226" s="4" t="s">
        <v>15</v>
      </c>
      <c r="F226" s="4" t="s">
        <v>32</v>
      </c>
      <c r="G226" s="5">
        <v>50.0</v>
      </c>
    </row>
    <row r="227" ht="22.5" customHeight="1">
      <c r="A227" s="3">
        <v>45078.0</v>
      </c>
      <c r="B227" s="4" t="str">
        <f t="shared" si="1"/>
        <v>T2</v>
      </c>
      <c r="C227" s="4" t="str">
        <f t="shared" si="2"/>
        <v>Sem 1</v>
      </c>
      <c r="D227" s="4" t="s">
        <v>7</v>
      </c>
      <c r="E227" s="4" t="s">
        <v>8</v>
      </c>
      <c r="F227" s="4" t="s">
        <v>9</v>
      </c>
      <c r="G227" s="5">
        <v>91.0</v>
      </c>
    </row>
    <row r="228" ht="22.5" customHeight="1">
      <c r="A228" s="3">
        <v>45079.0</v>
      </c>
      <c r="B228" s="4" t="str">
        <f t="shared" si="1"/>
        <v>T2</v>
      </c>
      <c r="C228" s="4" t="str">
        <f t="shared" si="2"/>
        <v>Sem 1</v>
      </c>
      <c r="D228" s="4" t="s">
        <v>7</v>
      </c>
      <c r="E228" s="4" t="s">
        <v>8</v>
      </c>
      <c r="F228" s="4" t="s">
        <v>9</v>
      </c>
      <c r="G228" s="5">
        <v>117.0</v>
      </c>
    </row>
    <row r="229" ht="22.5" customHeight="1">
      <c r="A229" s="3">
        <v>45079.0</v>
      </c>
      <c r="B229" s="4" t="str">
        <f t="shared" si="1"/>
        <v>T2</v>
      </c>
      <c r="C229" s="4" t="str">
        <f t="shared" si="2"/>
        <v>Sem 1</v>
      </c>
      <c r="D229" s="4" t="s">
        <v>7</v>
      </c>
      <c r="E229" s="4" t="s">
        <v>10</v>
      </c>
      <c r="F229" s="4" t="s">
        <v>11</v>
      </c>
      <c r="G229" s="5">
        <v>91.0</v>
      </c>
    </row>
    <row r="230" ht="22.5" customHeight="1">
      <c r="A230" s="3">
        <v>45079.0</v>
      </c>
      <c r="B230" s="4" t="str">
        <f t="shared" si="1"/>
        <v>T2</v>
      </c>
      <c r="C230" s="4" t="str">
        <f t="shared" si="2"/>
        <v>Sem 1</v>
      </c>
      <c r="D230" s="4" t="s">
        <v>7</v>
      </c>
      <c r="E230" s="4" t="s">
        <v>10</v>
      </c>
      <c r="F230" s="4" t="s">
        <v>12</v>
      </c>
      <c r="G230" s="5">
        <v>135.0</v>
      </c>
    </row>
    <row r="231" ht="22.5" customHeight="1">
      <c r="A231" s="3">
        <v>45080.0</v>
      </c>
      <c r="B231" s="4" t="str">
        <f t="shared" si="1"/>
        <v>T2</v>
      </c>
      <c r="C231" s="4" t="str">
        <f t="shared" si="2"/>
        <v>Sem 1</v>
      </c>
      <c r="D231" s="4" t="s">
        <v>7</v>
      </c>
      <c r="E231" s="4" t="s">
        <v>13</v>
      </c>
      <c r="F231" s="4" t="s">
        <v>14</v>
      </c>
      <c r="G231" s="5">
        <v>124.0</v>
      </c>
    </row>
    <row r="232" ht="22.5" customHeight="1">
      <c r="A232" s="3">
        <v>45080.0</v>
      </c>
      <c r="B232" s="4" t="str">
        <f t="shared" si="1"/>
        <v>T2</v>
      </c>
      <c r="C232" s="4" t="str">
        <f t="shared" si="2"/>
        <v>Sem 1</v>
      </c>
      <c r="D232" s="4" t="s">
        <v>7</v>
      </c>
      <c r="E232" s="4" t="s">
        <v>15</v>
      </c>
      <c r="F232" s="4" t="s">
        <v>16</v>
      </c>
      <c r="G232" s="5">
        <v>114.0</v>
      </c>
    </row>
    <row r="233" ht="22.5" customHeight="1">
      <c r="A233" s="3">
        <v>45081.0</v>
      </c>
      <c r="B233" s="4" t="str">
        <f t="shared" si="1"/>
        <v>T2</v>
      </c>
      <c r="C233" s="4" t="str">
        <f t="shared" si="2"/>
        <v>Sem 1</v>
      </c>
      <c r="D233" s="4" t="s">
        <v>7</v>
      </c>
      <c r="E233" s="4" t="s">
        <v>13</v>
      </c>
      <c r="F233" s="4" t="s">
        <v>17</v>
      </c>
      <c r="G233" s="5">
        <v>91.0</v>
      </c>
    </row>
    <row r="234" ht="22.5" customHeight="1">
      <c r="A234" s="3">
        <v>45081.0</v>
      </c>
      <c r="B234" s="4" t="str">
        <f t="shared" si="1"/>
        <v>T2</v>
      </c>
      <c r="C234" s="4" t="str">
        <f t="shared" si="2"/>
        <v>Sem 1</v>
      </c>
      <c r="D234" s="4" t="s">
        <v>7</v>
      </c>
      <c r="E234" s="4" t="s">
        <v>13</v>
      </c>
      <c r="F234" s="4" t="s">
        <v>18</v>
      </c>
      <c r="G234" s="5">
        <v>20.0</v>
      </c>
    </row>
    <row r="235" ht="22.5" customHeight="1">
      <c r="A235" s="3">
        <v>45082.0</v>
      </c>
      <c r="B235" s="4" t="str">
        <f t="shared" si="1"/>
        <v>T2</v>
      </c>
      <c r="C235" s="4" t="str">
        <f t="shared" si="2"/>
        <v>Sem 1</v>
      </c>
      <c r="D235" s="4" t="s">
        <v>7</v>
      </c>
      <c r="E235" s="4" t="s">
        <v>13</v>
      </c>
      <c r="F235" s="4" t="s">
        <v>14</v>
      </c>
      <c r="G235" s="5">
        <v>96.0</v>
      </c>
    </row>
    <row r="236" ht="22.5" customHeight="1">
      <c r="A236" s="3">
        <v>45085.0</v>
      </c>
      <c r="B236" s="4" t="str">
        <f t="shared" si="1"/>
        <v>T2</v>
      </c>
      <c r="C236" s="4" t="str">
        <f t="shared" si="2"/>
        <v>Sem 1</v>
      </c>
      <c r="D236" s="4" t="s">
        <v>7</v>
      </c>
      <c r="E236" s="4" t="s">
        <v>19</v>
      </c>
      <c r="F236" s="4" t="s">
        <v>20</v>
      </c>
      <c r="G236" s="5">
        <v>51.0</v>
      </c>
    </row>
    <row r="237" ht="22.5" customHeight="1">
      <c r="A237" s="3">
        <v>45086.0</v>
      </c>
      <c r="B237" s="4" t="str">
        <f t="shared" si="1"/>
        <v>T2</v>
      </c>
      <c r="C237" s="4" t="str">
        <f t="shared" si="2"/>
        <v>Sem 1</v>
      </c>
      <c r="D237" s="4" t="s">
        <v>7</v>
      </c>
      <c r="E237" s="4" t="s">
        <v>8</v>
      </c>
      <c r="F237" s="4" t="s">
        <v>9</v>
      </c>
      <c r="G237" s="5">
        <v>36.0</v>
      </c>
    </row>
    <row r="238" ht="22.5" customHeight="1">
      <c r="A238" s="3">
        <v>45086.0</v>
      </c>
      <c r="B238" s="4" t="str">
        <f t="shared" si="1"/>
        <v>T2</v>
      </c>
      <c r="C238" s="4" t="str">
        <f t="shared" si="2"/>
        <v>Sem 1</v>
      </c>
      <c r="D238" s="4" t="s">
        <v>7</v>
      </c>
      <c r="E238" s="4" t="s">
        <v>10</v>
      </c>
      <c r="F238" s="4" t="s">
        <v>11</v>
      </c>
      <c r="G238" s="5">
        <v>48.0</v>
      </c>
    </row>
    <row r="239" ht="22.5" customHeight="1">
      <c r="A239" s="3">
        <v>45086.0</v>
      </c>
      <c r="B239" s="4" t="str">
        <f t="shared" si="1"/>
        <v>T2</v>
      </c>
      <c r="C239" s="4" t="str">
        <f t="shared" si="2"/>
        <v>Sem 1</v>
      </c>
      <c r="D239" s="4" t="s">
        <v>7</v>
      </c>
      <c r="E239" s="4" t="s">
        <v>10</v>
      </c>
      <c r="F239" s="4" t="s">
        <v>12</v>
      </c>
      <c r="G239" s="5">
        <v>78.0</v>
      </c>
    </row>
    <row r="240" ht="22.5" customHeight="1">
      <c r="A240" s="3">
        <v>45087.0</v>
      </c>
      <c r="B240" s="4" t="str">
        <f t="shared" si="1"/>
        <v>T2</v>
      </c>
      <c r="C240" s="4" t="str">
        <f t="shared" si="2"/>
        <v>Sem 1</v>
      </c>
      <c r="D240" s="4" t="s">
        <v>7</v>
      </c>
      <c r="E240" s="4" t="s">
        <v>13</v>
      </c>
      <c r="F240" s="4" t="s">
        <v>14</v>
      </c>
      <c r="G240" s="5">
        <v>154.0</v>
      </c>
    </row>
    <row r="241" ht="22.5" customHeight="1">
      <c r="A241" s="3">
        <v>45088.0</v>
      </c>
      <c r="B241" s="4" t="str">
        <f t="shared" si="1"/>
        <v>T2</v>
      </c>
      <c r="C241" s="4" t="str">
        <f t="shared" si="2"/>
        <v>Sem 1</v>
      </c>
      <c r="D241" s="4" t="s">
        <v>7</v>
      </c>
      <c r="E241" s="4" t="s">
        <v>15</v>
      </c>
      <c r="F241" s="4" t="s">
        <v>16</v>
      </c>
      <c r="G241" s="5">
        <v>149.0</v>
      </c>
    </row>
    <row r="242" ht="22.5" customHeight="1">
      <c r="A242" s="3">
        <v>45089.0</v>
      </c>
      <c r="B242" s="4" t="str">
        <f t="shared" si="1"/>
        <v>T2</v>
      </c>
      <c r="C242" s="4" t="str">
        <f t="shared" si="2"/>
        <v>Sem 1</v>
      </c>
      <c r="D242" s="4" t="s">
        <v>7</v>
      </c>
      <c r="E242" s="4" t="s">
        <v>13</v>
      </c>
      <c r="F242" s="4" t="s">
        <v>17</v>
      </c>
      <c r="G242" s="5">
        <v>130.0</v>
      </c>
    </row>
    <row r="243" ht="22.5" customHeight="1">
      <c r="A243" s="3">
        <v>45089.0</v>
      </c>
      <c r="B243" s="4" t="str">
        <f t="shared" si="1"/>
        <v>T2</v>
      </c>
      <c r="C243" s="4" t="str">
        <f t="shared" si="2"/>
        <v>Sem 1</v>
      </c>
      <c r="D243" s="4" t="s">
        <v>7</v>
      </c>
      <c r="E243" s="4" t="s">
        <v>13</v>
      </c>
      <c r="F243" s="4" t="s">
        <v>18</v>
      </c>
      <c r="G243" s="5">
        <v>30.0</v>
      </c>
    </row>
    <row r="244" ht="22.5" customHeight="1">
      <c r="A244" s="3">
        <v>45089.0</v>
      </c>
      <c r="B244" s="4" t="str">
        <f t="shared" si="1"/>
        <v>T2</v>
      </c>
      <c r="C244" s="4" t="str">
        <f t="shared" si="2"/>
        <v>Sem 1</v>
      </c>
      <c r="D244" s="4" t="s">
        <v>7</v>
      </c>
      <c r="E244" s="4" t="s">
        <v>13</v>
      </c>
      <c r="F244" s="4" t="s">
        <v>14</v>
      </c>
      <c r="G244" s="5">
        <v>30.0</v>
      </c>
    </row>
    <row r="245" ht="22.5" customHeight="1">
      <c r="A245" s="3">
        <v>45090.0</v>
      </c>
      <c r="B245" s="4" t="str">
        <f t="shared" si="1"/>
        <v>T2</v>
      </c>
      <c r="C245" s="4" t="str">
        <f t="shared" si="2"/>
        <v>Sem 1</v>
      </c>
      <c r="D245" s="4" t="s">
        <v>7</v>
      </c>
      <c r="E245" s="4" t="s">
        <v>8</v>
      </c>
      <c r="F245" s="4" t="s">
        <v>9</v>
      </c>
      <c r="G245" s="5">
        <v>159.0</v>
      </c>
    </row>
    <row r="246" ht="22.5" customHeight="1">
      <c r="A246" s="3">
        <v>45091.0</v>
      </c>
      <c r="B246" s="4" t="str">
        <f t="shared" si="1"/>
        <v>T2</v>
      </c>
      <c r="C246" s="4" t="str">
        <f t="shared" si="2"/>
        <v>Sem 1</v>
      </c>
      <c r="D246" s="4" t="s">
        <v>7</v>
      </c>
      <c r="E246" s="4" t="s">
        <v>8</v>
      </c>
      <c r="F246" s="4" t="s">
        <v>9</v>
      </c>
      <c r="G246" s="5">
        <v>155.0</v>
      </c>
    </row>
    <row r="247" ht="22.5" customHeight="1">
      <c r="A247" s="3">
        <v>45091.0</v>
      </c>
      <c r="B247" s="4" t="str">
        <f t="shared" si="1"/>
        <v>T2</v>
      </c>
      <c r="C247" s="4" t="str">
        <f t="shared" si="2"/>
        <v>Sem 1</v>
      </c>
      <c r="D247" s="4" t="s">
        <v>7</v>
      </c>
      <c r="E247" s="4" t="s">
        <v>10</v>
      </c>
      <c r="F247" s="4" t="s">
        <v>11</v>
      </c>
      <c r="G247" s="5">
        <v>179.0</v>
      </c>
    </row>
    <row r="248" ht="22.5" customHeight="1">
      <c r="A248" s="3">
        <v>45092.0</v>
      </c>
      <c r="B248" s="4" t="str">
        <f t="shared" si="1"/>
        <v>T2</v>
      </c>
      <c r="C248" s="4" t="str">
        <f t="shared" si="2"/>
        <v>Sem 1</v>
      </c>
      <c r="D248" s="4" t="s">
        <v>7</v>
      </c>
      <c r="E248" s="4" t="s">
        <v>10</v>
      </c>
      <c r="F248" s="4" t="s">
        <v>12</v>
      </c>
      <c r="G248" s="5">
        <v>48.0</v>
      </c>
    </row>
    <row r="249" ht="22.5" customHeight="1">
      <c r="A249" s="3">
        <v>45093.0</v>
      </c>
      <c r="B249" s="4" t="str">
        <f t="shared" si="1"/>
        <v>T2</v>
      </c>
      <c r="C249" s="4" t="str">
        <f t="shared" si="2"/>
        <v>Sem 1</v>
      </c>
      <c r="D249" s="4" t="s">
        <v>7</v>
      </c>
      <c r="E249" s="4" t="s">
        <v>13</v>
      </c>
      <c r="F249" s="4" t="s">
        <v>14</v>
      </c>
      <c r="G249" s="5">
        <v>44.0</v>
      </c>
    </row>
    <row r="250" ht="22.5" customHeight="1">
      <c r="A250" s="3">
        <v>45093.0</v>
      </c>
      <c r="B250" s="4" t="str">
        <f t="shared" si="1"/>
        <v>T2</v>
      </c>
      <c r="C250" s="4" t="str">
        <f t="shared" si="2"/>
        <v>Sem 1</v>
      </c>
      <c r="D250" s="4" t="s">
        <v>7</v>
      </c>
      <c r="E250" s="4" t="s">
        <v>15</v>
      </c>
      <c r="F250" s="4" t="s">
        <v>16</v>
      </c>
      <c r="G250" s="5">
        <v>31.0</v>
      </c>
    </row>
    <row r="251" ht="22.5" customHeight="1">
      <c r="A251" s="3">
        <v>45095.0</v>
      </c>
      <c r="B251" s="4" t="str">
        <f t="shared" si="1"/>
        <v>T2</v>
      </c>
      <c r="C251" s="4" t="str">
        <f t="shared" si="2"/>
        <v>Sem 1</v>
      </c>
      <c r="D251" s="4" t="s">
        <v>7</v>
      </c>
      <c r="E251" s="4" t="s">
        <v>13</v>
      </c>
      <c r="F251" s="4" t="s">
        <v>17</v>
      </c>
      <c r="G251" s="5">
        <v>101.0</v>
      </c>
    </row>
    <row r="252" ht="22.5" customHeight="1">
      <c r="A252" s="3">
        <v>45096.0</v>
      </c>
      <c r="B252" s="4" t="str">
        <f t="shared" si="1"/>
        <v>T2</v>
      </c>
      <c r="C252" s="4" t="str">
        <f t="shared" si="2"/>
        <v>Sem 1</v>
      </c>
      <c r="D252" s="4" t="s">
        <v>7</v>
      </c>
      <c r="E252" s="4" t="s">
        <v>13</v>
      </c>
      <c r="F252" s="4" t="s">
        <v>18</v>
      </c>
      <c r="G252" s="5">
        <v>59.0</v>
      </c>
    </row>
    <row r="253" ht="22.5" customHeight="1">
      <c r="A253" s="3">
        <v>45098.0</v>
      </c>
      <c r="B253" s="4" t="str">
        <f t="shared" si="1"/>
        <v>T2</v>
      </c>
      <c r="C253" s="4" t="str">
        <f t="shared" si="2"/>
        <v>Sem 1</v>
      </c>
      <c r="D253" s="4" t="s">
        <v>7</v>
      </c>
      <c r="E253" s="4" t="s">
        <v>13</v>
      </c>
      <c r="F253" s="4" t="s">
        <v>14</v>
      </c>
      <c r="G253" s="5">
        <v>165.0</v>
      </c>
    </row>
    <row r="254" ht="22.5" customHeight="1">
      <c r="A254" s="3">
        <v>45098.0</v>
      </c>
      <c r="B254" s="4" t="str">
        <f t="shared" si="1"/>
        <v>T2</v>
      </c>
      <c r="C254" s="4" t="str">
        <f t="shared" si="2"/>
        <v>Sem 1</v>
      </c>
      <c r="D254" s="4" t="s">
        <v>7</v>
      </c>
      <c r="E254" s="4" t="s">
        <v>8</v>
      </c>
      <c r="F254" s="4" t="s">
        <v>9</v>
      </c>
      <c r="G254" s="5">
        <v>124.0</v>
      </c>
    </row>
    <row r="255" ht="22.5" customHeight="1">
      <c r="A255" s="3">
        <v>45098.0</v>
      </c>
      <c r="B255" s="4" t="str">
        <f t="shared" si="1"/>
        <v>T2</v>
      </c>
      <c r="C255" s="4" t="str">
        <f t="shared" si="2"/>
        <v>Sem 1</v>
      </c>
      <c r="D255" s="4" t="s">
        <v>7</v>
      </c>
      <c r="E255" s="4" t="s">
        <v>8</v>
      </c>
      <c r="F255" s="4" t="s">
        <v>9</v>
      </c>
      <c r="G255" s="5">
        <v>178.0</v>
      </c>
    </row>
    <row r="256" ht="22.5" customHeight="1">
      <c r="A256" s="3">
        <v>45098.0</v>
      </c>
      <c r="B256" s="4" t="str">
        <f t="shared" si="1"/>
        <v>T2</v>
      </c>
      <c r="C256" s="4" t="str">
        <f t="shared" si="2"/>
        <v>Sem 1</v>
      </c>
      <c r="D256" s="4" t="s">
        <v>21</v>
      </c>
      <c r="E256" s="4" t="s">
        <v>22</v>
      </c>
      <c r="F256" s="4" t="s">
        <v>23</v>
      </c>
      <c r="G256" s="5">
        <v>3000.0</v>
      </c>
    </row>
    <row r="257" ht="22.5" customHeight="1">
      <c r="A257" s="3">
        <v>45099.0</v>
      </c>
      <c r="B257" s="4" t="str">
        <f t="shared" si="1"/>
        <v>T2</v>
      </c>
      <c r="C257" s="4" t="str">
        <f t="shared" si="2"/>
        <v>Sem 1</v>
      </c>
      <c r="D257" s="4" t="s">
        <v>21</v>
      </c>
      <c r="E257" s="4" t="s">
        <v>24</v>
      </c>
      <c r="F257" s="4" t="s">
        <v>25</v>
      </c>
      <c r="G257" s="5">
        <v>2000.0</v>
      </c>
    </row>
    <row r="258" ht="22.5" customHeight="1">
      <c r="A258" s="3">
        <v>45100.0</v>
      </c>
      <c r="B258" s="4" t="str">
        <f t="shared" si="1"/>
        <v>T2</v>
      </c>
      <c r="C258" s="4" t="str">
        <f t="shared" si="2"/>
        <v>Sem 1</v>
      </c>
      <c r="D258" s="4" t="s">
        <v>7</v>
      </c>
      <c r="E258" s="4" t="s">
        <v>8</v>
      </c>
      <c r="F258" s="4" t="s">
        <v>26</v>
      </c>
      <c r="G258" s="5">
        <v>198.0</v>
      </c>
    </row>
    <row r="259" ht="22.5" customHeight="1">
      <c r="A259" s="3">
        <v>45101.0</v>
      </c>
      <c r="B259" s="4" t="str">
        <f t="shared" si="1"/>
        <v>T2</v>
      </c>
      <c r="C259" s="4" t="str">
        <f t="shared" si="2"/>
        <v>Sem 1</v>
      </c>
      <c r="D259" s="4" t="s">
        <v>7</v>
      </c>
      <c r="E259" s="4" t="s">
        <v>8</v>
      </c>
      <c r="F259" s="4" t="s">
        <v>27</v>
      </c>
      <c r="G259" s="5">
        <v>150.0</v>
      </c>
    </row>
    <row r="260" ht="22.5" customHeight="1">
      <c r="A260" s="3">
        <v>45103.0</v>
      </c>
      <c r="B260" s="4" t="str">
        <f t="shared" si="1"/>
        <v>T2</v>
      </c>
      <c r="C260" s="4" t="str">
        <f t="shared" si="2"/>
        <v>Sem 1</v>
      </c>
      <c r="D260" s="4" t="s">
        <v>7</v>
      </c>
      <c r="E260" s="4" t="s">
        <v>8</v>
      </c>
      <c r="F260" s="4" t="s">
        <v>9</v>
      </c>
      <c r="G260" s="5">
        <v>587.0</v>
      </c>
    </row>
    <row r="261" ht="22.5" customHeight="1">
      <c r="A261" s="3">
        <v>45105.0</v>
      </c>
      <c r="B261" s="4" t="str">
        <f t="shared" si="1"/>
        <v>T2</v>
      </c>
      <c r="C261" s="4" t="str">
        <f t="shared" si="2"/>
        <v>Sem 1</v>
      </c>
      <c r="D261" s="4" t="s">
        <v>7</v>
      </c>
      <c r="E261" s="4" t="s">
        <v>8</v>
      </c>
      <c r="F261" s="4" t="s">
        <v>28</v>
      </c>
      <c r="G261" s="5">
        <v>80.0</v>
      </c>
    </row>
    <row r="262" ht="22.5" customHeight="1">
      <c r="A262" s="3">
        <v>45105.0</v>
      </c>
      <c r="B262" s="4" t="str">
        <f t="shared" si="1"/>
        <v>T2</v>
      </c>
      <c r="C262" s="4" t="str">
        <f t="shared" si="2"/>
        <v>Sem 1</v>
      </c>
      <c r="D262" s="4" t="s">
        <v>7</v>
      </c>
      <c r="E262" s="4" t="s">
        <v>8</v>
      </c>
      <c r="F262" s="4" t="s">
        <v>28</v>
      </c>
      <c r="G262" s="5">
        <v>80.0</v>
      </c>
    </row>
    <row r="263" ht="22.5" customHeight="1">
      <c r="A263" s="3">
        <v>45105.0</v>
      </c>
      <c r="B263" s="4" t="str">
        <f t="shared" si="1"/>
        <v>T2</v>
      </c>
      <c r="C263" s="4" t="str">
        <f t="shared" si="2"/>
        <v>Sem 1</v>
      </c>
      <c r="D263" s="4" t="s">
        <v>7</v>
      </c>
      <c r="E263" s="4" t="s">
        <v>8</v>
      </c>
      <c r="F263" s="4" t="s">
        <v>29</v>
      </c>
      <c r="G263" s="5">
        <v>115.0</v>
      </c>
    </row>
    <row r="264" ht="22.5" customHeight="1">
      <c r="A264" s="3">
        <v>45106.0</v>
      </c>
      <c r="B264" s="4" t="str">
        <f t="shared" si="1"/>
        <v>T2</v>
      </c>
      <c r="C264" s="4" t="str">
        <f t="shared" si="2"/>
        <v>Sem 1</v>
      </c>
      <c r="D264" s="4" t="s">
        <v>7</v>
      </c>
      <c r="E264" s="4" t="s">
        <v>8</v>
      </c>
      <c r="F264" s="4" t="s">
        <v>30</v>
      </c>
      <c r="G264" s="5">
        <v>161.0</v>
      </c>
    </row>
    <row r="265" ht="22.5" customHeight="1">
      <c r="A265" s="3">
        <v>45106.0</v>
      </c>
      <c r="B265" s="4" t="str">
        <f t="shared" si="1"/>
        <v>T2</v>
      </c>
      <c r="C265" s="4" t="str">
        <f t="shared" si="2"/>
        <v>Sem 1</v>
      </c>
      <c r="D265" s="4" t="s">
        <v>7</v>
      </c>
      <c r="E265" s="4" t="s">
        <v>13</v>
      </c>
      <c r="F265" s="4" t="s">
        <v>31</v>
      </c>
      <c r="G265" s="5">
        <v>60.0</v>
      </c>
    </row>
    <row r="266" ht="22.5" customHeight="1">
      <c r="A266" s="3">
        <v>45106.0</v>
      </c>
      <c r="B266" s="4" t="str">
        <f t="shared" si="1"/>
        <v>T2</v>
      </c>
      <c r="C266" s="4" t="str">
        <f t="shared" si="2"/>
        <v>Sem 1</v>
      </c>
      <c r="D266" s="4" t="s">
        <v>7</v>
      </c>
      <c r="E266" s="4" t="s">
        <v>15</v>
      </c>
      <c r="F266" s="4" t="s">
        <v>32</v>
      </c>
      <c r="G266" s="5">
        <v>50.0</v>
      </c>
    </row>
    <row r="267" ht="22.5" customHeight="1">
      <c r="A267" s="3">
        <v>45107.0</v>
      </c>
      <c r="B267" s="4" t="str">
        <f t="shared" si="1"/>
        <v>T2</v>
      </c>
      <c r="C267" s="4" t="str">
        <f t="shared" si="2"/>
        <v>Sem 1</v>
      </c>
      <c r="D267" s="4" t="s">
        <v>7</v>
      </c>
      <c r="E267" s="4" t="s">
        <v>13</v>
      </c>
      <c r="F267" s="4" t="s">
        <v>14</v>
      </c>
      <c r="G267" s="5">
        <v>146.0</v>
      </c>
    </row>
    <row r="268" ht="22.5" customHeight="1">
      <c r="A268" s="3">
        <v>45108.0</v>
      </c>
      <c r="B268" s="4" t="str">
        <f t="shared" si="1"/>
        <v>T3</v>
      </c>
      <c r="C268" s="4" t="str">
        <f t="shared" si="2"/>
        <v>Sem 2</v>
      </c>
      <c r="D268" s="4" t="s">
        <v>7</v>
      </c>
      <c r="E268" s="4" t="s">
        <v>15</v>
      </c>
      <c r="F268" s="4" t="s">
        <v>16</v>
      </c>
      <c r="G268" s="5">
        <v>180.0</v>
      </c>
    </row>
    <row r="269" ht="22.5" customHeight="1">
      <c r="A269" s="3">
        <v>45109.0</v>
      </c>
      <c r="B269" s="4" t="str">
        <f t="shared" si="1"/>
        <v>T3</v>
      </c>
      <c r="C269" s="4" t="str">
        <f t="shared" si="2"/>
        <v>Sem 2</v>
      </c>
      <c r="D269" s="4" t="s">
        <v>7</v>
      </c>
      <c r="E269" s="4" t="s">
        <v>13</v>
      </c>
      <c r="F269" s="4" t="s">
        <v>17</v>
      </c>
      <c r="G269" s="5">
        <v>164.0</v>
      </c>
    </row>
    <row r="270" ht="22.5" customHeight="1">
      <c r="A270" s="3">
        <v>45110.0</v>
      </c>
      <c r="B270" s="4" t="str">
        <f t="shared" si="1"/>
        <v>T3</v>
      </c>
      <c r="C270" s="4" t="str">
        <f t="shared" si="2"/>
        <v>Sem 2</v>
      </c>
      <c r="D270" s="4" t="s">
        <v>7</v>
      </c>
      <c r="E270" s="4" t="s">
        <v>13</v>
      </c>
      <c r="F270" s="4" t="s">
        <v>18</v>
      </c>
      <c r="G270" s="5">
        <v>23.0</v>
      </c>
    </row>
    <row r="271" ht="22.5" customHeight="1">
      <c r="A271" s="3">
        <v>45110.0</v>
      </c>
      <c r="B271" s="4" t="str">
        <f t="shared" si="1"/>
        <v>T3</v>
      </c>
      <c r="C271" s="4" t="str">
        <f t="shared" si="2"/>
        <v>Sem 2</v>
      </c>
      <c r="D271" s="4" t="s">
        <v>7</v>
      </c>
      <c r="E271" s="4" t="s">
        <v>13</v>
      </c>
      <c r="F271" s="4" t="s">
        <v>14</v>
      </c>
      <c r="G271" s="5">
        <v>124.0</v>
      </c>
    </row>
    <row r="272" ht="22.5" customHeight="1">
      <c r="A272" s="3">
        <v>45110.0</v>
      </c>
      <c r="B272" s="4" t="str">
        <f t="shared" si="1"/>
        <v>T3</v>
      </c>
      <c r="C272" s="4" t="str">
        <f t="shared" si="2"/>
        <v>Sem 2</v>
      </c>
      <c r="D272" s="4" t="s">
        <v>7</v>
      </c>
      <c r="E272" s="4" t="s">
        <v>8</v>
      </c>
      <c r="F272" s="4" t="s">
        <v>9</v>
      </c>
      <c r="G272" s="5">
        <v>172.0</v>
      </c>
    </row>
    <row r="273" ht="22.5" customHeight="1">
      <c r="A273" s="3">
        <v>45111.0</v>
      </c>
      <c r="B273" s="4" t="str">
        <f t="shared" si="1"/>
        <v>T3</v>
      </c>
      <c r="C273" s="4" t="str">
        <f t="shared" si="2"/>
        <v>Sem 2</v>
      </c>
      <c r="D273" s="4" t="s">
        <v>7</v>
      </c>
      <c r="E273" s="4" t="s">
        <v>19</v>
      </c>
      <c r="F273" s="4" t="s">
        <v>20</v>
      </c>
      <c r="G273" s="5">
        <v>40.0</v>
      </c>
    </row>
    <row r="274" ht="22.5" customHeight="1">
      <c r="A274" s="3">
        <v>45112.0</v>
      </c>
      <c r="B274" s="4" t="str">
        <f t="shared" si="1"/>
        <v>T3</v>
      </c>
      <c r="C274" s="4" t="str">
        <f t="shared" si="2"/>
        <v>Sem 2</v>
      </c>
      <c r="D274" s="4" t="s">
        <v>7</v>
      </c>
      <c r="E274" s="4" t="s">
        <v>10</v>
      </c>
      <c r="F274" s="4" t="s">
        <v>11</v>
      </c>
      <c r="G274" s="5">
        <v>45.0</v>
      </c>
    </row>
    <row r="275" ht="22.5" customHeight="1">
      <c r="A275" s="3">
        <v>45113.0</v>
      </c>
      <c r="B275" s="4" t="str">
        <f t="shared" si="1"/>
        <v>T3</v>
      </c>
      <c r="C275" s="4" t="str">
        <f t="shared" si="2"/>
        <v>Sem 2</v>
      </c>
      <c r="D275" s="4" t="s">
        <v>7</v>
      </c>
      <c r="E275" s="4" t="s">
        <v>10</v>
      </c>
      <c r="F275" s="4" t="s">
        <v>12</v>
      </c>
      <c r="G275" s="5">
        <v>141.0</v>
      </c>
    </row>
    <row r="276" ht="22.5" customHeight="1">
      <c r="A276" s="3">
        <v>45113.0</v>
      </c>
      <c r="B276" s="4" t="str">
        <f t="shared" si="1"/>
        <v>T3</v>
      </c>
      <c r="C276" s="4" t="str">
        <f t="shared" si="2"/>
        <v>Sem 2</v>
      </c>
      <c r="D276" s="4" t="s">
        <v>7</v>
      </c>
      <c r="E276" s="4" t="s">
        <v>13</v>
      </c>
      <c r="F276" s="4" t="s">
        <v>14</v>
      </c>
      <c r="G276" s="5">
        <v>136.0</v>
      </c>
    </row>
    <row r="277" ht="22.5" customHeight="1">
      <c r="A277" s="3">
        <v>45114.0</v>
      </c>
      <c r="B277" s="4" t="str">
        <f t="shared" si="1"/>
        <v>T3</v>
      </c>
      <c r="C277" s="4" t="str">
        <f t="shared" si="2"/>
        <v>Sem 2</v>
      </c>
      <c r="D277" s="4" t="s">
        <v>7</v>
      </c>
      <c r="E277" s="4" t="s">
        <v>15</v>
      </c>
      <c r="F277" s="4" t="s">
        <v>16</v>
      </c>
      <c r="G277" s="5">
        <v>81.0</v>
      </c>
    </row>
    <row r="278" ht="22.5" customHeight="1">
      <c r="A278" s="3">
        <v>45114.0</v>
      </c>
      <c r="B278" s="4" t="str">
        <f t="shared" si="1"/>
        <v>T3</v>
      </c>
      <c r="C278" s="4" t="str">
        <f t="shared" si="2"/>
        <v>Sem 2</v>
      </c>
      <c r="D278" s="4" t="s">
        <v>7</v>
      </c>
      <c r="E278" s="4" t="s">
        <v>13</v>
      </c>
      <c r="F278" s="4" t="s">
        <v>17</v>
      </c>
      <c r="G278" s="5">
        <v>128.0</v>
      </c>
    </row>
    <row r="279" ht="22.5" customHeight="1">
      <c r="A279" s="3">
        <v>45115.0</v>
      </c>
      <c r="B279" s="4" t="str">
        <f t="shared" si="1"/>
        <v>T3</v>
      </c>
      <c r="C279" s="4" t="str">
        <f t="shared" si="2"/>
        <v>Sem 2</v>
      </c>
      <c r="D279" s="4" t="s">
        <v>7</v>
      </c>
      <c r="E279" s="4" t="s">
        <v>13</v>
      </c>
      <c r="F279" s="4" t="s">
        <v>18</v>
      </c>
      <c r="G279" s="5">
        <v>77.0</v>
      </c>
    </row>
    <row r="280" ht="22.5" customHeight="1">
      <c r="A280" s="3">
        <v>45115.0</v>
      </c>
      <c r="B280" s="4" t="str">
        <f t="shared" si="1"/>
        <v>T3</v>
      </c>
      <c r="C280" s="4" t="str">
        <f t="shared" si="2"/>
        <v>Sem 2</v>
      </c>
      <c r="D280" s="4" t="s">
        <v>7</v>
      </c>
      <c r="E280" s="4" t="s">
        <v>13</v>
      </c>
      <c r="F280" s="4" t="s">
        <v>14</v>
      </c>
      <c r="G280" s="5">
        <v>83.0</v>
      </c>
    </row>
    <row r="281" ht="22.5" customHeight="1">
      <c r="A281" s="3">
        <v>45115.0</v>
      </c>
      <c r="B281" s="4" t="str">
        <f t="shared" si="1"/>
        <v>T3</v>
      </c>
      <c r="C281" s="4" t="str">
        <f t="shared" si="2"/>
        <v>Sem 2</v>
      </c>
      <c r="D281" s="4" t="s">
        <v>7</v>
      </c>
      <c r="E281" s="4" t="s">
        <v>8</v>
      </c>
      <c r="F281" s="4" t="s">
        <v>9</v>
      </c>
      <c r="G281" s="5">
        <v>191.0</v>
      </c>
    </row>
    <row r="282" ht="22.5" customHeight="1">
      <c r="A282" s="3">
        <v>45115.0</v>
      </c>
      <c r="B282" s="4" t="str">
        <f t="shared" si="1"/>
        <v>T3</v>
      </c>
      <c r="C282" s="4" t="str">
        <f t="shared" si="2"/>
        <v>Sem 2</v>
      </c>
      <c r="D282" s="4" t="s">
        <v>7</v>
      </c>
      <c r="E282" s="4" t="s">
        <v>8</v>
      </c>
      <c r="F282" s="4" t="s">
        <v>9</v>
      </c>
      <c r="G282" s="5">
        <v>118.0</v>
      </c>
    </row>
    <row r="283" ht="22.5" customHeight="1">
      <c r="A283" s="3">
        <v>45116.0</v>
      </c>
      <c r="B283" s="4" t="str">
        <f t="shared" si="1"/>
        <v>T3</v>
      </c>
      <c r="C283" s="4" t="str">
        <f t="shared" si="2"/>
        <v>Sem 2</v>
      </c>
      <c r="D283" s="4" t="s">
        <v>7</v>
      </c>
      <c r="E283" s="4" t="s">
        <v>10</v>
      </c>
      <c r="F283" s="4" t="s">
        <v>11</v>
      </c>
      <c r="G283" s="5">
        <v>28.0</v>
      </c>
    </row>
    <row r="284" ht="22.5" customHeight="1">
      <c r="A284" s="3">
        <v>45116.0</v>
      </c>
      <c r="B284" s="4" t="str">
        <f t="shared" si="1"/>
        <v>T3</v>
      </c>
      <c r="C284" s="4" t="str">
        <f t="shared" si="2"/>
        <v>Sem 2</v>
      </c>
      <c r="D284" s="4" t="s">
        <v>7</v>
      </c>
      <c r="E284" s="4" t="s">
        <v>10</v>
      </c>
      <c r="F284" s="4" t="s">
        <v>12</v>
      </c>
      <c r="G284" s="5">
        <v>80.0</v>
      </c>
    </row>
    <row r="285" ht="22.5" customHeight="1">
      <c r="A285" s="3">
        <v>45117.0</v>
      </c>
      <c r="B285" s="4" t="str">
        <f t="shared" si="1"/>
        <v>T3</v>
      </c>
      <c r="C285" s="4" t="str">
        <f t="shared" si="2"/>
        <v>Sem 2</v>
      </c>
      <c r="D285" s="4" t="s">
        <v>7</v>
      </c>
      <c r="E285" s="4" t="s">
        <v>13</v>
      </c>
      <c r="F285" s="4" t="s">
        <v>14</v>
      </c>
      <c r="G285" s="5">
        <v>148.0</v>
      </c>
    </row>
    <row r="286" ht="22.5" customHeight="1">
      <c r="A286" s="3">
        <v>45117.0</v>
      </c>
      <c r="B286" s="4" t="str">
        <f t="shared" si="1"/>
        <v>T3</v>
      </c>
      <c r="C286" s="4" t="str">
        <f t="shared" si="2"/>
        <v>Sem 2</v>
      </c>
      <c r="D286" s="4" t="s">
        <v>7</v>
      </c>
      <c r="E286" s="4" t="s">
        <v>15</v>
      </c>
      <c r="F286" s="4" t="s">
        <v>16</v>
      </c>
      <c r="G286" s="5">
        <v>124.0</v>
      </c>
    </row>
    <row r="287" ht="22.5" customHeight="1">
      <c r="A287" s="3">
        <v>45117.0</v>
      </c>
      <c r="B287" s="4" t="str">
        <f t="shared" si="1"/>
        <v>T3</v>
      </c>
      <c r="C287" s="4" t="str">
        <f t="shared" si="2"/>
        <v>Sem 2</v>
      </c>
      <c r="D287" s="4" t="s">
        <v>7</v>
      </c>
      <c r="E287" s="4" t="s">
        <v>13</v>
      </c>
      <c r="F287" s="4" t="s">
        <v>17</v>
      </c>
      <c r="G287" s="5">
        <v>190.0</v>
      </c>
    </row>
    <row r="288" ht="22.5" customHeight="1">
      <c r="A288" s="3">
        <v>45117.0</v>
      </c>
      <c r="B288" s="4" t="str">
        <f t="shared" si="1"/>
        <v>T3</v>
      </c>
      <c r="C288" s="4" t="str">
        <f t="shared" si="2"/>
        <v>Sem 2</v>
      </c>
      <c r="D288" s="4" t="s">
        <v>7</v>
      </c>
      <c r="E288" s="4" t="s">
        <v>13</v>
      </c>
      <c r="F288" s="4" t="s">
        <v>18</v>
      </c>
      <c r="G288" s="5">
        <v>23.0</v>
      </c>
    </row>
    <row r="289" ht="22.5" customHeight="1">
      <c r="A289" s="3">
        <v>45118.0</v>
      </c>
      <c r="B289" s="4" t="str">
        <f t="shared" si="1"/>
        <v>T3</v>
      </c>
      <c r="C289" s="4" t="str">
        <f t="shared" si="2"/>
        <v>Sem 2</v>
      </c>
      <c r="D289" s="4" t="s">
        <v>7</v>
      </c>
      <c r="E289" s="4" t="s">
        <v>13</v>
      </c>
      <c r="F289" s="4" t="s">
        <v>14</v>
      </c>
      <c r="G289" s="5">
        <v>197.0</v>
      </c>
    </row>
    <row r="290" ht="22.5" customHeight="1">
      <c r="A290" s="3">
        <v>45119.0</v>
      </c>
      <c r="B290" s="4" t="str">
        <f t="shared" si="1"/>
        <v>T3</v>
      </c>
      <c r="C290" s="4" t="str">
        <f t="shared" si="2"/>
        <v>Sem 2</v>
      </c>
      <c r="D290" s="4" t="s">
        <v>7</v>
      </c>
      <c r="E290" s="4" t="s">
        <v>8</v>
      </c>
      <c r="F290" s="4" t="s">
        <v>9</v>
      </c>
      <c r="G290" s="5">
        <v>101.0</v>
      </c>
    </row>
    <row r="291" ht="22.5" customHeight="1">
      <c r="A291" s="3">
        <v>45119.0</v>
      </c>
      <c r="B291" s="4" t="str">
        <f t="shared" si="1"/>
        <v>T3</v>
      </c>
      <c r="C291" s="4" t="str">
        <f t="shared" si="2"/>
        <v>Sem 2</v>
      </c>
      <c r="D291" s="4" t="s">
        <v>7</v>
      </c>
      <c r="E291" s="4" t="s">
        <v>8</v>
      </c>
      <c r="F291" s="4" t="s">
        <v>9</v>
      </c>
      <c r="G291" s="5">
        <v>501.0</v>
      </c>
    </row>
    <row r="292" ht="22.5" customHeight="1">
      <c r="A292" s="3">
        <v>45119.0</v>
      </c>
      <c r="B292" s="4" t="str">
        <f t="shared" si="1"/>
        <v>T3</v>
      </c>
      <c r="C292" s="4" t="str">
        <f t="shared" si="2"/>
        <v>Sem 2</v>
      </c>
      <c r="D292" s="4" t="s">
        <v>7</v>
      </c>
      <c r="E292" s="4" t="s">
        <v>10</v>
      </c>
      <c r="F292" s="4" t="s">
        <v>11</v>
      </c>
      <c r="G292" s="5">
        <v>139.0</v>
      </c>
    </row>
    <row r="293" ht="22.5" customHeight="1">
      <c r="A293" s="3">
        <v>45120.0</v>
      </c>
      <c r="B293" s="4" t="str">
        <f t="shared" si="1"/>
        <v>T3</v>
      </c>
      <c r="C293" s="4" t="str">
        <f t="shared" si="2"/>
        <v>Sem 2</v>
      </c>
      <c r="D293" s="4" t="s">
        <v>7</v>
      </c>
      <c r="E293" s="4" t="s">
        <v>10</v>
      </c>
      <c r="F293" s="4" t="s">
        <v>12</v>
      </c>
      <c r="G293" s="5">
        <v>168.0</v>
      </c>
    </row>
    <row r="294" ht="22.5" customHeight="1">
      <c r="A294" s="3">
        <v>45121.0</v>
      </c>
      <c r="B294" s="4" t="str">
        <f t="shared" si="1"/>
        <v>T3</v>
      </c>
      <c r="C294" s="4" t="str">
        <f t="shared" si="2"/>
        <v>Sem 2</v>
      </c>
      <c r="D294" s="4" t="s">
        <v>7</v>
      </c>
      <c r="E294" s="4" t="s">
        <v>13</v>
      </c>
      <c r="F294" s="4" t="s">
        <v>14</v>
      </c>
      <c r="G294" s="5">
        <v>75.0</v>
      </c>
    </row>
    <row r="295" ht="22.5" customHeight="1">
      <c r="A295" s="3">
        <v>45122.0</v>
      </c>
      <c r="B295" s="4" t="str">
        <f t="shared" si="1"/>
        <v>T3</v>
      </c>
      <c r="C295" s="4" t="str">
        <f t="shared" si="2"/>
        <v>Sem 2</v>
      </c>
      <c r="D295" s="4" t="s">
        <v>7</v>
      </c>
      <c r="E295" s="4" t="s">
        <v>15</v>
      </c>
      <c r="F295" s="4" t="s">
        <v>16</v>
      </c>
      <c r="G295" s="5">
        <v>78.0</v>
      </c>
    </row>
    <row r="296" ht="22.5" customHeight="1">
      <c r="A296" s="3">
        <v>45122.0</v>
      </c>
      <c r="B296" s="4" t="str">
        <f t="shared" si="1"/>
        <v>T3</v>
      </c>
      <c r="C296" s="4" t="str">
        <f t="shared" si="2"/>
        <v>Sem 2</v>
      </c>
      <c r="D296" s="4" t="s">
        <v>7</v>
      </c>
      <c r="E296" s="4" t="s">
        <v>13</v>
      </c>
      <c r="F296" s="4" t="s">
        <v>17</v>
      </c>
      <c r="G296" s="5">
        <v>86.0</v>
      </c>
    </row>
    <row r="297" ht="22.5" customHeight="1">
      <c r="A297" s="3">
        <v>45122.0</v>
      </c>
      <c r="B297" s="4" t="str">
        <f t="shared" si="1"/>
        <v>T3</v>
      </c>
      <c r="C297" s="4" t="str">
        <f t="shared" si="2"/>
        <v>Sem 2</v>
      </c>
      <c r="D297" s="4" t="s">
        <v>7</v>
      </c>
      <c r="E297" s="4" t="s">
        <v>13</v>
      </c>
      <c r="F297" s="4" t="s">
        <v>18</v>
      </c>
      <c r="G297" s="5">
        <v>70.0</v>
      </c>
    </row>
    <row r="298" ht="22.5" customHeight="1">
      <c r="A298" s="3">
        <v>45122.0</v>
      </c>
      <c r="B298" s="4" t="str">
        <f t="shared" si="1"/>
        <v>T3</v>
      </c>
      <c r="C298" s="4" t="str">
        <f t="shared" si="2"/>
        <v>Sem 2</v>
      </c>
      <c r="D298" s="4" t="s">
        <v>7</v>
      </c>
      <c r="E298" s="4" t="s">
        <v>13</v>
      </c>
      <c r="F298" s="4" t="s">
        <v>14</v>
      </c>
      <c r="G298" s="5">
        <v>89.0</v>
      </c>
    </row>
    <row r="299" ht="22.5" customHeight="1">
      <c r="A299" s="3">
        <v>45123.0</v>
      </c>
      <c r="B299" s="4" t="str">
        <f t="shared" si="1"/>
        <v>T3</v>
      </c>
      <c r="C299" s="4" t="str">
        <f t="shared" si="2"/>
        <v>Sem 2</v>
      </c>
      <c r="D299" s="4" t="s">
        <v>7</v>
      </c>
      <c r="E299" s="4" t="s">
        <v>8</v>
      </c>
      <c r="F299" s="4" t="s">
        <v>9</v>
      </c>
      <c r="G299" s="5">
        <v>525.0</v>
      </c>
    </row>
    <row r="300" ht="22.5" customHeight="1">
      <c r="A300" s="3">
        <v>45123.0</v>
      </c>
      <c r="B300" s="4" t="str">
        <f t="shared" si="1"/>
        <v>T3</v>
      </c>
      <c r="C300" s="4" t="str">
        <f t="shared" si="2"/>
        <v>Sem 2</v>
      </c>
      <c r="D300" s="4" t="s">
        <v>7</v>
      </c>
      <c r="E300" s="4" t="s">
        <v>8</v>
      </c>
      <c r="F300" s="4" t="s">
        <v>9</v>
      </c>
      <c r="G300" s="5">
        <v>129.0</v>
      </c>
    </row>
    <row r="301" ht="22.5" customHeight="1">
      <c r="A301" s="3">
        <v>45123.0</v>
      </c>
      <c r="B301" s="4" t="str">
        <f t="shared" si="1"/>
        <v>T3</v>
      </c>
      <c r="C301" s="4" t="str">
        <f t="shared" si="2"/>
        <v>Sem 2</v>
      </c>
      <c r="D301" s="4" t="s">
        <v>7</v>
      </c>
      <c r="E301" s="4" t="s">
        <v>10</v>
      </c>
      <c r="F301" s="4" t="s">
        <v>11</v>
      </c>
      <c r="G301" s="5">
        <v>169.0</v>
      </c>
    </row>
    <row r="302" ht="22.5" customHeight="1">
      <c r="A302" s="3">
        <v>45124.0</v>
      </c>
      <c r="B302" s="4" t="str">
        <f t="shared" si="1"/>
        <v>T3</v>
      </c>
      <c r="C302" s="4" t="str">
        <f t="shared" si="2"/>
        <v>Sem 2</v>
      </c>
      <c r="D302" s="4" t="s">
        <v>7</v>
      </c>
      <c r="E302" s="4" t="s">
        <v>10</v>
      </c>
      <c r="F302" s="4" t="s">
        <v>12</v>
      </c>
      <c r="G302" s="5">
        <v>38.0</v>
      </c>
    </row>
    <row r="303" ht="22.5" customHeight="1">
      <c r="A303" s="3">
        <v>45124.0</v>
      </c>
      <c r="B303" s="4" t="str">
        <f t="shared" si="1"/>
        <v>T3</v>
      </c>
      <c r="C303" s="4" t="str">
        <f t="shared" si="2"/>
        <v>Sem 2</v>
      </c>
      <c r="D303" s="4" t="s">
        <v>7</v>
      </c>
      <c r="E303" s="4" t="s">
        <v>13</v>
      </c>
      <c r="F303" s="4" t="s">
        <v>14</v>
      </c>
      <c r="G303" s="5">
        <v>174.0</v>
      </c>
    </row>
    <row r="304" ht="22.5" customHeight="1">
      <c r="A304" s="3">
        <v>45125.0</v>
      </c>
      <c r="B304" s="4" t="str">
        <f t="shared" si="1"/>
        <v>T3</v>
      </c>
      <c r="C304" s="4" t="str">
        <f t="shared" si="2"/>
        <v>Sem 2</v>
      </c>
      <c r="D304" s="4" t="s">
        <v>7</v>
      </c>
      <c r="E304" s="4" t="s">
        <v>15</v>
      </c>
      <c r="F304" s="4" t="s">
        <v>16</v>
      </c>
      <c r="G304" s="5">
        <v>145.0</v>
      </c>
    </row>
    <row r="305" ht="22.5" customHeight="1">
      <c r="A305" s="3">
        <v>45125.0</v>
      </c>
      <c r="B305" s="4" t="str">
        <f t="shared" si="1"/>
        <v>T3</v>
      </c>
      <c r="C305" s="4" t="str">
        <f t="shared" si="2"/>
        <v>Sem 2</v>
      </c>
      <c r="D305" s="4" t="s">
        <v>7</v>
      </c>
      <c r="E305" s="4" t="s">
        <v>13</v>
      </c>
      <c r="F305" s="4" t="s">
        <v>17</v>
      </c>
      <c r="G305" s="5">
        <v>29.0</v>
      </c>
    </row>
    <row r="306" ht="22.5" customHeight="1">
      <c r="A306" s="3">
        <v>45126.0</v>
      </c>
      <c r="B306" s="4" t="str">
        <f t="shared" si="1"/>
        <v>T3</v>
      </c>
      <c r="C306" s="4" t="str">
        <f t="shared" si="2"/>
        <v>Sem 2</v>
      </c>
      <c r="D306" s="4" t="s">
        <v>7</v>
      </c>
      <c r="E306" s="4" t="s">
        <v>13</v>
      </c>
      <c r="F306" s="4" t="s">
        <v>18</v>
      </c>
      <c r="G306" s="5">
        <v>58.0</v>
      </c>
    </row>
    <row r="307" ht="22.5" customHeight="1">
      <c r="A307" s="3">
        <v>45128.0</v>
      </c>
      <c r="B307" s="4" t="str">
        <f t="shared" si="1"/>
        <v>T3</v>
      </c>
      <c r="C307" s="4" t="str">
        <f t="shared" si="2"/>
        <v>Sem 2</v>
      </c>
      <c r="D307" s="4" t="s">
        <v>7</v>
      </c>
      <c r="E307" s="4" t="s">
        <v>13</v>
      </c>
      <c r="F307" s="4" t="s">
        <v>14</v>
      </c>
      <c r="G307" s="5">
        <v>81.0</v>
      </c>
    </row>
    <row r="308" ht="22.5" customHeight="1">
      <c r="A308" s="3">
        <v>45128.0</v>
      </c>
      <c r="B308" s="4" t="str">
        <f t="shared" si="1"/>
        <v>T3</v>
      </c>
      <c r="C308" s="4" t="str">
        <f t="shared" si="2"/>
        <v>Sem 2</v>
      </c>
      <c r="D308" s="4" t="s">
        <v>7</v>
      </c>
      <c r="E308" s="4" t="s">
        <v>8</v>
      </c>
      <c r="F308" s="4" t="s">
        <v>9</v>
      </c>
      <c r="G308" s="5">
        <v>260.0</v>
      </c>
    </row>
    <row r="309" ht="22.5" customHeight="1">
      <c r="A309" s="3">
        <v>45131.0</v>
      </c>
      <c r="B309" s="4" t="str">
        <f t="shared" si="1"/>
        <v>T3</v>
      </c>
      <c r="C309" s="4" t="str">
        <f t="shared" si="2"/>
        <v>Sem 2</v>
      </c>
      <c r="D309" s="4" t="s">
        <v>21</v>
      </c>
      <c r="E309" s="4" t="s">
        <v>22</v>
      </c>
      <c r="F309" s="4" t="s">
        <v>23</v>
      </c>
      <c r="G309" s="5">
        <v>3000.0</v>
      </c>
    </row>
    <row r="310" ht="22.5" customHeight="1">
      <c r="A310" s="3">
        <v>45132.0</v>
      </c>
      <c r="B310" s="4" t="str">
        <f t="shared" si="1"/>
        <v>T3</v>
      </c>
      <c r="C310" s="4" t="str">
        <f t="shared" si="2"/>
        <v>Sem 2</v>
      </c>
      <c r="D310" s="4" t="s">
        <v>21</v>
      </c>
      <c r="E310" s="4" t="s">
        <v>24</v>
      </c>
      <c r="F310" s="4" t="s">
        <v>25</v>
      </c>
      <c r="G310" s="5">
        <v>3200.0</v>
      </c>
    </row>
    <row r="311" ht="22.5" customHeight="1">
      <c r="A311" s="3">
        <v>45132.0</v>
      </c>
      <c r="B311" s="4" t="str">
        <f t="shared" si="1"/>
        <v>T3</v>
      </c>
      <c r="C311" s="4" t="str">
        <f t="shared" si="2"/>
        <v>Sem 2</v>
      </c>
      <c r="D311" s="4" t="s">
        <v>7</v>
      </c>
      <c r="E311" s="4" t="s">
        <v>8</v>
      </c>
      <c r="F311" s="4" t="s">
        <v>26</v>
      </c>
      <c r="G311" s="5">
        <v>123.0</v>
      </c>
    </row>
    <row r="312" ht="22.5" customHeight="1">
      <c r="A312" s="3">
        <v>45132.0</v>
      </c>
      <c r="B312" s="4" t="str">
        <f t="shared" si="1"/>
        <v>T3</v>
      </c>
      <c r="C312" s="4" t="str">
        <f t="shared" si="2"/>
        <v>Sem 2</v>
      </c>
      <c r="D312" s="4" t="s">
        <v>7</v>
      </c>
      <c r="E312" s="4" t="s">
        <v>8</v>
      </c>
      <c r="F312" s="4" t="s">
        <v>27</v>
      </c>
      <c r="G312" s="5">
        <v>150.0</v>
      </c>
    </row>
    <row r="313" ht="22.5" customHeight="1">
      <c r="A313" s="3">
        <v>45132.0</v>
      </c>
      <c r="B313" s="4" t="str">
        <f t="shared" si="1"/>
        <v>T3</v>
      </c>
      <c r="C313" s="4" t="str">
        <f t="shared" si="2"/>
        <v>Sem 2</v>
      </c>
      <c r="D313" s="4" t="s">
        <v>7</v>
      </c>
      <c r="E313" s="4" t="s">
        <v>8</v>
      </c>
      <c r="F313" s="4" t="s">
        <v>9</v>
      </c>
      <c r="G313" s="5">
        <v>129.0</v>
      </c>
    </row>
    <row r="314" ht="22.5" customHeight="1">
      <c r="A314" s="3">
        <v>45132.0</v>
      </c>
      <c r="B314" s="4" t="str">
        <f t="shared" si="1"/>
        <v>T3</v>
      </c>
      <c r="C314" s="4" t="str">
        <f t="shared" si="2"/>
        <v>Sem 2</v>
      </c>
      <c r="D314" s="4" t="s">
        <v>7</v>
      </c>
      <c r="E314" s="4" t="s">
        <v>8</v>
      </c>
      <c r="F314" s="4" t="s">
        <v>28</v>
      </c>
      <c r="G314" s="5">
        <v>80.0</v>
      </c>
    </row>
    <row r="315" ht="22.5" customHeight="1">
      <c r="A315" s="3">
        <v>45134.0</v>
      </c>
      <c r="B315" s="4" t="str">
        <f t="shared" si="1"/>
        <v>T3</v>
      </c>
      <c r="C315" s="4" t="str">
        <f t="shared" si="2"/>
        <v>Sem 2</v>
      </c>
      <c r="D315" s="4" t="s">
        <v>7</v>
      </c>
      <c r="E315" s="4" t="s">
        <v>8</v>
      </c>
      <c r="F315" s="4" t="s">
        <v>28</v>
      </c>
      <c r="G315" s="5">
        <v>80.0</v>
      </c>
    </row>
    <row r="316" ht="22.5" customHeight="1">
      <c r="A316" s="3">
        <v>45135.0</v>
      </c>
      <c r="B316" s="4" t="str">
        <f t="shared" si="1"/>
        <v>T3</v>
      </c>
      <c r="C316" s="4" t="str">
        <f t="shared" si="2"/>
        <v>Sem 2</v>
      </c>
      <c r="D316" s="4" t="s">
        <v>7</v>
      </c>
      <c r="E316" s="4" t="s">
        <v>8</v>
      </c>
      <c r="F316" s="4" t="s">
        <v>29</v>
      </c>
      <c r="G316" s="5">
        <v>27.0</v>
      </c>
    </row>
    <row r="317" ht="22.5" customHeight="1">
      <c r="A317" s="3">
        <v>45136.0</v>
      </c>
      <c r="B317" s="4" t="str">
        <f t="shared" si="1"/>
        <v>T3</v>
      </c>
      <c r="C317" s="4" t="str">
        <f t="shared" si="2"/>
        <v>Sem 2</v>
      </c>
      <c r="D317" s="4" t="s">
        <v>7</v>
      </c>
      <c r="E317" s="4" t="s">
        <v>8</v>
      </c>
      <c r="F317" s="4" t="s">
        <v>30</v>
      </c>
      <c r="G317" s="5">
        <v>185.0</v>
      </c>
    </row>
    <row r="318" ht="22.5" customHeight="1">
      <c r="A318" s="3">
        <v>45136.0</v>
      </c>
      <c r="B318" s="4" t="str">
        <f t="shared" si="1"/>
        <v>T3</v>
      </c>
      <c r="C318" s="4" t="str">
        <f t="shared" si="2"/>
        <v>Sem 2</v>
      </c>
      <c r="D318" s="4" t="s">
        <v>7</v>
      </c>
      <c r="E318" s="4" t="s">
        <v>13</v>
      </c>
      <c r="F318" s="4" t="s">
        <v>31</v>
      </c>
      <c r="G318" s="5">
        <v>60.0</v>
      </c>
    </row>
    <row r="319" ht="22.5" customHeight="1">
      <c r="A319" s="3">
        <v>45137.0</v>
      </c>
      <c r="B319" s="4" t="str">
        <f t="shared" si="1"/>
        <v>T3</v>
      </c>
      <c r="C319" s="4" t="str">
        <f t="shared" si="2"/>
        <v>Sem 2</v>
      </c>
      <c r="D319" s="4" t="s">
        <v>7</v>
      </c>
      <c r="E319" s="4" t="s">
        <v>15</v>
      </c>
      <c r="F319" s="4" t="s">
        <v>32</v>
      </c>
      <c r="G319" s="5">
        <v>50.0</v>
      </c>
    </row>
    <row r="320" ht="22.5" customHeight="1">
      <c r="A320" s="3">
        <v>45139.0</v>
      </c>
      <c r="B320" s="4" t="str">
        <f t="shared" si="1"/>
        <v>T3</v>
      </c>
      <c r="C320" s="4" t="str">
        <f t="shared" si="2"/>
        <v>Sem 2</v>
      </c>
      <c r="D320" s="4" t="s">
        <v>7</v>
      </c>
      <c r="E320" s="4" t="s">
        <v>10</v>
      </c>
      <c r="F320" s="4" t="s">
        <v>12</v>
      </c>
      <c r="G320" s="5">
        <v>92.0</v>
      </c>
    </row>
    <row r="321" ht="22.5" customHeight="1">
      <c r="A321" s="3">
        <v>45140.0</v>
      </c>
      <c r="B321" s="4" t="str">
        <f t="shared" si="1"/>
        <v>T3</v>
      </c>
      <c r="C321" s="4" t="str">
        <f t="shared" si="2"/>
        <v>Sem 2</v>
      </c>
      <c r="D321" s="4" t="s">
        <v>7</v>
      </c>
      <c r="E321" s="4" t="s">
        <v>13</v>
      </c>
      <c r="F321" s="4" t="s">
        <v>14</v>
      </c>
      <c r="G321" s="5">
        <v>21.0</v>
      </c>
    </row>
    <row r="322" ht="22.5" customHeight="1">
      <c r="A322" s="3">
        <v>45140.0</v>
      </c>
      <c r="B322" s="4" t="str">
        <f t="shared" si="1"/>
        <v>T3</v>
      </c>
      <c r="C322" s="4" t="str">
        <f t="shared" si="2"/>
        <v>Sem 2</v>
      </c>
      <c r="D322" s="4" t="s">
        <v>7</v>
      </c>
      <c r="E322" s="4" t="s">
        <v>15</v>
      </c>
      <c r="F322" s="4" t="s">
        <v>16</v>
      </c>
      <c r="G322" s="5">
        <v>61.0</v>
      </c>
    </row>
    <row r="323" ht="22.5" customHeight="1">
      <c r="A323" s="3">
        <v>45142.0</v>
      </c>
      <c r="B323" s="4" t="str">
        <f t="shared" si="1"/>
        <v>T3</v>
      </c>
      <c r="C323" s="4" t="str">
        <f t="shared" si="2"/>
        <v>Sem 2</v>
      </c>
      <c r="D323" s="4" t="s">
        <v>7</v>
      </c>
      <c r="E323" s="4" t="s">
        <v>13</v>
      </c>
      <c r="F323" s="4" t="s">
        <v>17</v>
      </c>
      <c r="G323" s="5">
        <v>17.0</v>
      </c>
    </row>
    <row r="324" ht="22.5" customHeight="1">
      <c r="A324" s="3">
        <v>45143.0</v>
      </c>
      <c r="B324" s="4" t="str">
        <f t="shared" si="1"/>
        <v>T3</v>
      </c>
      <c r="C324" s="4" t="str">
        <f t="shared" si="2"/>
        <v>Sem 2</v>
      </c>
      <c r="D324" s="4" t="s">
        <v>7</v>
      </c>
      <c r="E324" s="4" t="s">
        <v>13</v>
      </c>
      <c r="F324" s="4" t="s">
        <v>18</v>
      </c>
      <c r="G324" s="5">
        <v>35.0</v>
      </c>
    </row>
    <row r="325" ht="22.5" customHeight="1">
      <c r="A325" s="3">
        <v>45143.0</v>
      </c>
      <c r="B325" s="4" t="str">
        <f t="shared" si="1"/>
        <v>T3</v>
      </c>
      <c r="C325" s="4" t="str">
        <f t="shared" si="2"/>
        <v>Sem 2</v>
      </c>
      <c r="D325" s="4" t="s">
        <v>7</v>
      </c>
      <c r="E325" s="4" t="s">
        <v>13</v>
      </c>
      <c r="F325" s="4" t="s">
        <v>14</v>
      </c>
      <c r="G325" s="5">
        <v>167.0</v>
      </c>
    </row>
    <row r="326" ht="22.5" customHeight="1">
      <c r="A326" s="3">
        <v>45144.0</v>
      </c>
      <c r="B326" s="4" t="str">
        <f t="shared" si="1"/>
        <v>T3</v>
      </c>
      <c r="C326" s="4" t="str">
        <f t="shared" si="2"/>
        <v>Sem 2</v>
      </c>
      <c r="D326" s="4" t="s">
        <v>7</v>
      </c>
      <c r="E326" s="4" t="s">
        <v>19</v>
      </c>
      <c r="F326" s="4" t="s">
        <v>20</v>
      </c>
      <c r="G326" s="5">
        <v>36.0</v>
      </c>
    </row>
    <row r="327" ht="22.5" customHeight="1">
      <c r="A327" s="3">
        <v>45144.0</v>
      </c>
      <c r="B327" s="4" t="str">
        <f t="shared" si="1"/>
        <v>T3</v>
      </c>
      <c r="C327" s="4" t="str">
        <f t="shared" si="2"/>
        <v>Sem 2</v>
      </c>
      <c r="D327" s="4" t="s">
        <v>7</v>
      </c>
      <c r="E327" s="4" t="s">
        <v>8</v>
      </c>
      <c r="F327" s="4" t="s">
        <v>9</v>
      </c>
      <c r="G327" s="5">
        <v>154.0</v>
      </c>
    </row>
    <row r="328" ht="22.5" customHeight="1">
      <c r="A328" s="3">
        <v>45144.0</v>
      </c>
      <c r="B328" s="4" t="str">
        <f t="shared" si="1"/>
        <v>T3</v>
      </c>
      <c r="C328" s="4" t="str">
        <f t="shared" si="2"/>
        <v>Sem 2</v>
      </c>
      <c r="D328" s="4" t="s">
        <v>7</v>
      </c>
      <c r="E328" s="4" t="s">
        <v>10</v>
      </c>
      <c r="F328" s="4" t="s">
        <v>11</v>
      </c>
      <c r="G328" s="5">
        <v>37.0</v>
      </c>
    </row>
    <row r="329" ht="22.5" customHeight="1">
      <c r="A329" s="3">
        <v>45144.0</v>
      </c>
      <c r="B329" s="4" t="str">
        <f t="shared" si="1"/>
        <v>T3</v>
      </c>
      <c r="C329" s="4" t="str">
        <f t="shared" si="2"/>
        <v>Sem 2</v>
      </c>
      <c r="D329" s="4" t="s">
        <v>7</v>
      </c>
      <c r="E329" s="4" t="s">
        <v>10</v>
      </c>
      <c r="F329" s="4" t="s">
        <v>12</v>
      </c>
      <c r="G329" s="5">
        <v>162.0</v>
      </c>
    </row>
    <row r="330" ht="22.5" customHeight="1">
      <c r="A330" s="3">
        <v>45145.0</v>
      </c>
      <c r="B330" s="4" t="str">
        <f t="shared" si="1"/>
        <v>T3</v>
      </c>
      <c r="C330" s="4" t="str">
        <f t="shared" si="2"/>
        <v>Sem 2</v>
      </c>
      <c r="D330" s="4" t="s">
        <v>7</v>
      </c>
      <c r="E330" s="4" t="s">
        <v>13</v>
      </c>
      <c r="F330" s="4" t="s">
        <v>14</v>
      </c>
      <c r="G330" s="5">
        <v>116.0</v>
      </c>
    </row>
    <row r="331" ht="22.5" customHeight="1">
      <c r="A331" s="3">
        <v>45146.0</v>
      </c>
      <c r="B331" s="4" t="str">
        <f t="shared" si="1"/>
        <v>T3</v>
      </c>
      <c r="C331" s="4" t="str">
        <f t="shared" si="2"/>
        <v>Sem 2</v>
      </c>
      <c r="D331" s="4" t="s">
        <v>7</v>
      </c>
      <c r="E331" s="4" t="s">
        <v>15</v>
      </c>
      <c r="F331" s="4" t="s">
        <v>16</v>
      </c>
      <c r="G331" s="5">
        <v>70.0</v>
      </c>
    </row>
    <row r="332" ht="22.5" customHeight="1">
      <c r="A332" s="3">
        <v>45146.0</v>
      </c>
      <c r="B332" s="4" t="str">
        <f t="shared" si="1"/>
        <v>T3</v>
      </c>
      <c r="C332" s="4" t="str">
        <f t="shared" si="2"/>
        <v>Sem 2</v>
      </c>
      <c r="D332" s="4" t="s">
        <v>7</v>
      </c>
      <c r="E332" s="4" t="s">
        <v>13</v>
      </c>
      <c r="F332" s="4" t="s">
        <v>17</v>
      </c>
      <c r="G332" s="5">
        <v>168.0</v>
      </c>
    </row>
    <row r="333" ht="22.5" customHeight="1">
      <c r="A333" s="3">
        <v>45147.0</v>
      </c>
      <c r="B333" s="4" t="str">
        <f t="shared" si="1"/>
        <v>T3</v>
      </c>
      <c r="C333" s="4" t="str">
        <f t="shared" si="2"/>
        <v>Sem 2</v>
      </c>
      <c r="D333" s="4" t="s">
        <v>7</v>
      </c>
      <c r="E333" s="4" t="s">
        <v>13</v>
      </c>
      <c r="F333" s="4" t="s">
        <v>18</v>
      </c>
      <c r="G333" s="5">
        <v>37.0</v>
      </c>
    </row>
    <row r="334" ht="22.5" customHeight="1">
      <c r="A334" s="3">
        <v>45147.0</v>
      </c>
      <c r="B334" s="4" t="str">
        <f t="shared" si="1"/>
        <v>T3</v>
      </c>
      <c r="C334" s="4" t="str">
        <f t="shared" si="2"/>
        <v>Sem 2</v>
      </c>
      <c r="D334" s="4" t="s">
        <v>7</v>
      </c>
      <c r="E334" s="4" t="s">
        <v>13</v>
      </c>
      <c r="F334" s="4" t="s">
        <v>14</v>
      </c>
      <c r="G334" s="5">
        <v>78.0</v>
      </c>
    </row>
    <row r="335" ht="22.5" customHeight="1">
      <c r="A335" s="3">
        <v>45149.0</v>
      </c>
      <c r="B335" s="4" t="str">
        <f t="shared" si="1"/>
        <v>T3</v>
      </c>
      <c r="C335" s="4" t="str">
        <f t="shared" si="2"/>
        <v>Sem 2</v>
      </c>
      <c r="D335" s="4" t="s">
        <v>7</v>
      </c>
      <c r="E335" s="4" t="s">
        <v>8</v>
      </c>
      <c r="F335" s="4" t="s">
        <v>9</v>
      </c>
      <c r="G335" s="5">
        <v>524.0</v>
      </c>
    </row>
    <row r="336" ht="22.5" customHeight="1">
      <c r="A336" s="3">
        <v>45149.0</v>
      </c>
      <c r="B336" s="4" t="str">
        <f t="shared" si="1"/>
        <v>T3</v>
      </c>
      <c r="C336" s="4" t="str">
        <f t="shared" si="2"/>
        <v>Sem 2</v>
      </c>
      <c r="D336" s="4" t="s">
        <v>7</v>
      </c>
      <c r="E336" s="4" t="s">
        <v>8</v>
      </c>
      <c r="F336" s="4" t="s">
        <v>9</v>
      </c>
      <c r="G336" s="5">
        <v>87.0</v>
      </c>
    </row>
    <row r="337" ht="22.5" customHeight="1">
      <c r="A337" s="3">
        <v>45149.0</v>
      </c>
      <c r="B337" s="4" t="str">
        <f t="shared" si="1"/>
        <v>T3</v>
      </c>
      <c r="C337" s="4" t="str">
        <f t="shared" si="2"/>
        <v>Sem 2</v>
      </c>
      <c r="D337" s="4" t="s">
        <v>7</v>
      </c>
      <c r="E337" s="4" t="s">
        <v>10</v>
      </c>
      <c r="F337" s="4" t="s">
        <v>11</v>
      </c>
      <c r="G337" s="5">
        <v>66.0</v>
      </c>
    </row>
    <row r="338" ht="22.5" customHeight="1">
      <c r="A338" s="3">
        <v>45150.0</v>
      </c>
      <c r="B338" s="4" t="str">
        <f t="shared" si="1"/>
        <v>T3</v>
      </c>
      <c r="C338" s="4" t="str">
        <f t="shared" si="2"/>
        <v>Sem 2</v>
      </c>
      <c r="D338" s="4" t="s">
        <v>7</v>
      </c>
      <c r="E338" s="4" t="s">
        <v>10</v>
      </c>
      <c r="F338" s="4" t="s">
        <v>12</v>
      </c>
      <c r="G338" s="5">
        <v>153.0</v>
      </c>
    </row>
    <row r="339" ht="22.5" customHeight="1">
      <c r="A339" s="3">
        <v>45150.0</v>
      </c>
      <c r="B339" s="4" t="str">
        <f t="shared" si="1"/>
        <v>T3</v>
      </c>
      <c r="C339" s="4" t="str">
        <f t="shared" si="2"/>
        <v>Sem 2</v>
      </c>
      <c r="D339" s="4" t="s">
        <v>7</v>
      </c>
      <c r="E339" s="4" t="s">
        <v>13</v>
      </c>
      <c r="F339" s="4" t="s">
        <v>14</v>
      </c>
      <c r="G339" s="5">
        <v>122.0</v>
      </c>
    </row>
    <row r="340" ht="22.5" customHeight="1">
      <c r="A340" s="3">
        <v>45150.0</v>
      </c>
      <c r="B340" s="4" t="str">
        <f t="shared" si="1"/>
        <v>T3</v>
      </c>
      <c r="C340" s="4" t="str">
        <f t="shared" si="2"/>
        <v>Sem 2</v>
      </c>
      <c r="D340" s="4" t="s">
        <v>7</v>
      </c>
      <c r="E340" s="4" t="s">
        <v>15</v>
      </c>
      <c r="F340" s="4" t="s">
        <v>16</v>
      </c>
      <c r="G340" s="5">
        <v>43.0</v>
      </c>
    </row>
    <row r="341" ht="22.5" customHeight="1">
      <c r="A341" s="3">
        <v>45151.0</v>
      </c>
      <c r="B341" s="4" t="str">
        <f t="shared" si="1"/>
        <v>T3</v>
      </c>
      <c r="C341" s="4" t="str">
        <f t="shared" si="2"/>
        <v>Sem 2</v>
      </c>
      <c r="D341" s="4" t="s">
        <v>7</v>
      </c>
      <c r="E341" s="4" t="s">
        <v>13</v>
      </c>
      <c r="F341" s="4" t="s">
        <v>17</v>
      </c>
      <c r="G341" s="5">
        <v>95.0</v>
      </c>
    </row>
    <row r="342" ht="22.5" customHeight="1">
      <c r="A342" s="3">
        <v>45152.0</v>
      </c>
      <c r="B342" s="4" t="str">
        <f t="shared" si="1"/>
        <v>T3</v>
      </c>
      <c r="C342" s="4" t="str">
        <f t="shared" si="2"/>
        <v>Sem 2</v>
      </c>
      <c r="D342" s="4" t="s">
        <v>7</v>
      </c>
      <c r="E342" s="4" t="s">
        <v>13</v>
      </c>
      <c r="F342" s="4" t="s">
        <v>18</v>
      </c>
      <c r="G342" s="5">
        <v>20.0</v>
      </c>
    </row>
    <row r="343" ht="22.5" customHeight="1">
      <c r="A343" s="3">
        <v>45153.0</v>
      </c>
      <c r="B343" s="4" t="str">
        <f t="shared" si="1"/>
        <v>T3</v>
      </c>
      <c r="C343" s="4" t="str">
        <f t="shared" si="2"/>
        <v>Sem 2</v>
      </c>
      <c r="D343" s="4" t="s">
        <v>7</v>
      </c>
      <c r="E343" s="4" t="s">
        <v>13</v>
      </c>
      <c r="F343" s="4" t="s">
        <v>14</v>
      </c>
      <c r="G343" s="5">
        <v>96.0</v>
      </c>
    </row>
    <row r="344" ht="22.5" customHeight="1">
      <c r="A344" s="3">
        <v>45153.0</v>
      </c>
      <c r="B344" s="4" t="str">
        <f t="shared" si="1"/>
        <v>T3</v>
      </c>
      <c r="C344" s="4" t="str">
        <f t="shared" si="2"/>
        <v>Sem 2</v>
      </c>
      <c r="D344" s="4" t="s">
        <v>7</v>
      </c>
      <c r="E344" s="4" t="s">
        <v>8</v>
      </c>
      <c r="F344" s="4" t="s">
        <v>9</v>
      </c>
      <c r="G344" s="5">
        <v>572.0</v>
      </c>
    </row>
    <row r="345" ht="22.5" customHeight="1">
      <c r="A345" s="3">
        <v>45153.0</v>
      </c>
      <c r="B345" s="4" t="str">
        <f t="shared" si="1"/>
        <v>T3</v>
      </c>
      <c r="C345" s="4" t="str">
        <f t="shared" si="2"/>
        <v>Sem 2</v>
      </c>
      <c r="D345" s="4" t="s">
        <v>7</v>
      </c>
      <c r="E345" s="4" t="s">
        <v>8</v>
      </c>
      <c r="F345" s="4" t="s">
        <v>9</v>
      </c>
      <c r="G345" s="5">
        <v>134.0</v>
      </c>
    </row>
    <row r="346" ht="22.5" customHeight="1">
      <c r="A346" s="3">
        <v>45154.0</v>
      </c>
      <c r="B346" s="4" t="str">
        <f t="shared" si="1"/>
        <v>T3</v>
      </c>
      <c r="C346" s="4" t="str">
        <f t="shared" si="2"/>
        <v>Sem 2</v>
      </c>
      <c r="D346" s="4" t="s">
        <v>7</v>
      </c>
      <c r="E346" s="4" t="s">
        <v>10</v>
      </c>
      <c r="F346" s="4" t="s">
        <v>11</v>
      </c>
      <c r="G346" s="5">
        <v>157.0</v>
      </c>
    </row>
    <row r="347" ht="22.5" customHeight="1">
      <c r="A347" s="3">
        <v>45154.0</v>
      </c>
      <c r="B347" s="4" t="str">
        <f t="shared" si="1"/>
        <v>T3</v>
      </c>
      <c r="C347" s="4" t="str">
        <f t="shared" si="2"/>
        <v>Sem 2</v>
      </c>
      <c r="D347" s="4" t="s">
        <v>7</v>
      </c>
      <c r="E347" s="4" t="s">
        <v>10</v>
      </c>
      <c r="F347" s="4" t="s">
        <v>12</v>
      </c>
      <c r="G347" s="5">
        <v>65.0</v>
      </c>
    </row>
    <row r="348" ht="22.5" customHeight="1">
      <c r="A348" s="3">
        <v>45155.0</v>
      </c>
      <c r="B348" s="4" t="str">
        <f t="shared" si="1"/>
        <v>T3</v>
      </c>
      <c r="C348" s="4" t="str">
        <f t="shared" si="2"/>
        <v>Sem 2</v>
      </c>
      <c r="D348" s="4" t="s">
        <v>7</v>
      </c>
      <c r="E348" s="4" t="s">
        <v>13</v>
      </c>
      <c r="F348" s="4" t="s">
        <v>14</v>
      </c>
      <c r="G348" s="5">
        <v>169.0</v>
      </c>
    </row>
    <row r="349" ht="22.5" customHeight="1">
      <c r="A349" s="3">
        <v>45155.0</v>
      </c>
      <c r="B349" s="4" t="str">
        <f t="shared" si="1"/>
        <v>T3</v>
      </c>
      <c r="C349" s="4" t="str">
        <f t="shared" si="2"/>
        <v>Sem 2</v>
      </c>
      <c r="D349" s="4" t="s">
        <v>7</v>
      </c>
      <c r="E349" s="4" t="s">
        <v>15</v>
      </c>
      <c r="F349" s="4" t="s">
        <v>16</v>
      </c>
      <c r="G349" s="5">
        <v>119.0</v>
      </c>
    </row>
    <row r="350" ht="22.5" customHeight="1">
      <c r="A350" s="3">
        <v>45156.0</v>
      </c>
      <c r="B350" s="4" t="str">
        <f t="shared" si="1"/>
        <v>T3</v>
      </c>
      <c r="C350" s="4" t="str">
        <f t="shared" si="2"/>
        <v>Sem 2</v>
      </c>
      <c r="D350" s="4" t="s">
        <v>7</v>
      </c>
      <c r="E350" s="4" t="s">
        <v>13</v>
      </c>
      <c r="F350" s="4" t="s">
        <v>17</v>
      </c>
      <c r="G350" s="5">
        <v>171.0</v>
      </c>
    </row>
    <row r="351" ht="22.5" customHeight="1">
      <c r="A351" s="3">
        <v>45157.0</v>
      </c>
      <c r="B351" s="4" t="str">
        <f t="shared" si="1"/>
        <v>T3</v>
      </c>
      <c r="C351" s="4" t="str">
        <f t="shared" si="2"/>
        <v>Sem 2</v>
      </c>
      <c r="D351" s="4" t="s">
        <v>7</v>
      </c>
      <c r="E351" s="4" t="s">
        <v>13</v>
      </c>
      <c r="F351" s="4" t="s">
        <v>18</v>
      </c>
      <c r="G351" s="5">
        <v>12.0</v>
      </c>
    </row>
    <row r="352" ht="22.5" customHeight="1">
      <c r="A352" s="3">
        <v>45157.0</v>
      </c>
      <c r="B352" s="4" t="str">
        <f t="shared" si="1"/>
        <v>T3</v>
      </c>
      <c r="C352" s="4" t="str">
        <f t="shared" si="2"/>
        <v>Sem 2</v>
      </c>
      <c r="D352" s="4" t="s">
        <v>7</v>
      </c>
      <c r="E352" s="4" t="s">
        <v>13</v>
      </c>
      <c r="F352" s="4" t="s">
        <v>14</v>
      </c>
      <c r="G352" s="5">
        <v>139.0</v>
      </c>
    </row>
    <row r="353" ht="22.5" customHeight="1">
      <c r="A353" s="3">
        <v>45158.0</v>
      </c>
      <c r="B353" s="4" t="str">
        <f t="shared" si="1"/>
        <v>T3</v>
      </c>
      <c r="C353" s="4" t="str">
        <f t="shared" si="2"/>
        <v>Sem 2</v>
      </c>
      <c r="D353" s="4" t="s">
        <v>7</v>
      </c>
      <c r="E353" s="4" t="s">
        <v>8</v>
      </c>
      <c r="F353" s="4" t="s">
        <v>9</v>
      </c>
      <c r="G353" s="5">
        <v>194.0</v>
      </c>
    </row>
    <row r="354" ht="22.5" customHeight="1">
      <c r="A354" s="3">
        <v>45159.0</v>
      </c>
      <c r="B354" s="4" t="str">
        <f t="shared" si="1"/>
        <v>T3</v>
      </c>
      <c r="C354" s="4" t="str">
        <f t="shared" si="2"/>
        <v>Sem 2</v>
      </c>
      <c r="D354" s="4" t="s">
        <v>7</v>
      </c>
      <c r="E354" s="4" t="s">
        <v>8</v>
      </c>
      <c r="F354" s="4" t="s">
        <v>9</v>
      </c>
      <c r="G354" s="5">
        <v>78.0</v>
      </c>
    </row>
    <row r="355" ht="22.5" customHeight="1">
      <c r="A355" s="3">
        <v>45160.0</v>
      </c>
      <c r="B355" s="4" t="str">
        <f t="shared" si="1"/>
        <v>T3</v>
      </c>
      <c r="C355" s="4" t="str">
        <f t="shared" si="2"/>
        <v>Sem 2</v>
      </c>
      <c r="D355" s="4" t="s">
        <v>7</v>
      </c>
      <c r="E355" s="4" t="s">
        <v>10</v>
      </c>
      <c r="F355" s="4" t="s">
        <v>11</v>
      </c>
      <c r="G355" s="5">
        <v>182.0</v>
      </c>
    </row>
    <row r="356" ht="22.5" customHeight="1">
      <c r="A356" s="3">
        <v>45161.0</v>
      </c>
      <c r="B356" s="4" t="str">
        <f t="shared" si="1"/>
        <v>T3</v>
      </c>
      <c r="C356" s="4" t="str">
        <f t="shared" si="2"/>
        <v>Sem 2</v>
      </c>
      <c r="D356" s="4" t="s">
        <v>21</v>
      </c>
      <c r="E356" s="4" t="s">
        <v>22</v>
      </c>
      <c r="F356" s="4" t="s">
        <v>23</v>
      </c>
      <c r="G356" s="5">
        <v>3000.0</v>
      </c>
    </row>
    <row r="357" ht="22.5" customHeight="1">
      <c r="A357" s="3">
        <v>45162.0</v>
      </c>
      <c r="B357" s="4" t="str">
        <f t="shared" si="1"/>
        <v>T3</v>
      </c>
      <c r="C357" s="4" t="str">
        <f t="shared" si="2"/>
        <v>Sem 2</v>
      </c>
      <c r="D357" s="4" t="s">
        <v>21</v>
      </c>
      <c r="E357" s="4" t="s">
        <v>24</v>
      </c>
      <c r="F357" s="4" t="s">
        <v>25</v>
      </c>
      <c r="G357" s="5">
        <v>1500.0</v>
      </c>
    </row>
    <row r="358" ht="22.5" customHeight="1">
      <c r="A358" s="3">
        <v>45164.0</v>
      </c>
      <c r="B358" s="4" t="str">
        <f t="shared" si="1"/>
        <v>T3</v>
      </c>
      <c r="C358" s="4" t="str">
        <f t="shared" si="2"/>
        <v>Sem 2</v>
      </c>
      <c r="D358" s="4" t="s">
        <v>7</v>
      </c>
      <c r="E358" s="4" t="s">
        <v>8</v>
      </c>
      <c r="F358" s="4" t="s">
        <v>26</v>
      </c>
      <c r="G358" s="5">
        <v>154.0</v>
      </c>
    </row>
    <row r="359" ht="22.5" customHeight="1">
      <c r="A359" s="3">
        <v>45166.0</v>
      </c>
      <c r="B359" s="4" t="str">
        <f t="shared" si="1"/>
        <v>T3</v>
      </c>
      <c r="C359" s="4" t="str">
        <f t="shared" si="2"/>
        <v>Sem 2</v>
      </c>
      <c r="D359" s="4" t="s">
        <v>7</v>
      </c>
      <c r="E359" s="4" t="s">
        <v>8</v>
      </c>
      <c r="F359" s="4" t="s">
        <v>27</v>
      </c>
      <c r="G359" s="5">
        <v>150.0</v>
      </c>
    </row>
    <row r="360" ht="22.5" customHeight="1">
      <c r="A360" s="3">
        <v>45167.0</v>
      </c>
      <c r="B360" s="4" t="str">
        <f t="shared" si="1"/>
        <v>T3</v>
      </c>
      <c r="C360" s="4" t="str">
        <f t="shared" si="2"/>
        <v>Sem 2</v>
      </c>
      <c r="D360" s="4" t="s">
        <v>7</v>
      </c>
      <c r="E360" s="4" t="s">
        <v>8</v>
      </c>
      <c r="F360" s="4" t="s">
        <v>9</v>
      </c>
      <c r="G360" s="5">
        <v>200.0</v>
      </c>
    </row>
    <row r="361" ht="22.5" customHeight="1">
      <c r="A361" s="3">
        <v>45167.0</v>
      </c>
      <c r="B361" s="4" t="str">
        <f t="shared" si="1"/>
        <v>T3</v>
      </c>
      <c r="C361" s="4" t="str">
        <f t="shared" si="2"/>
        <v>Sem 2</v>
      </c>
      <c r="D361" s="4" t="s">
        <v>7</v>
      </c>
      <c r="E361" s="4" t="s">
        <v>8</v>
      </c>
      <c r="F361" s="4" t="s">
        <v>28</v>
      </c>
      <c r="G361" s="5">
        <v>80.0</v>
      </c>
    </row>
    <row r="362" ht="22.5" customHeight="1">
      <c r="A362" s="3">
        <v>45167.0</v>
      </c>
      <c r="B362" s="4" t="str">
        <f t="shared" si="1"/>
        <v>T3</v>
      </c>
      <c r="C362" s="4" t="str">
        <f t="shared" si="2"/>
        <v>Sem 2</v>
      </c>
      <c r="D362" s="4" t="s">
        <v>7</v>
      </c>
      <c r="E362" s="4" t="s">
        <v>8</v>
      </c>
      <c r="F362" s="4" t="s">
        <v>28</v>
      </c>
      <c r="G362" s="5">
        <v>80.0</v>
      </c>
    </row>
    <row r="363" ht="22.5" customHeight="1">
      <c r="A363" s="3">
        <v>45167.0</v>
      </c>
      <c r="B363" s="4" t="str">
        <f t="shared" si="1"/>
        <v>T3</v>
      </c>
      <c r="C363" s="4" t="str">
        <f t="shared" si="2"/>
        <v>Sem 2</v>
      </c>
      <c r="D363" s="4" t="s">
        <v>7</v>
      </c>
      <c r="E363" s="4" t="s">
        <v>8</v>
      </c>
      <c r="F363" s="4" t="s">
        <v>29</v>
      </c>
      <c r="G363" s="5">
        <v>30.0</v>
      </c>
    </row>
    <row r="364" ht="22.5" customHeight="1">
      <c r="A364" s="3">
        <v>45168.0</v>
      </c>
      <c r="B364" s="4" t="str">
        <f t="shared" si="1"/>
        <v>T3</v>
      </c>
      <c r="C364" s="4" t="str">
        <f t="shared" si="2"/>
        <v>Sem 2</v>
      </c>
      <c r="D364" s="4" t="s">
        <v>7</v>
      </c>
      <c r="E364" s="4" t="s">
        <v>8</v>
      </c>
      <c r="F364" s="4" t="s">
        <v>30</v>
      </c>
      <c r="G364" s="5">
        <v>173.0</v>
      </c>
    </row>
    <row r="365" ht="22.5" customHeight="1">
      <c r="A365" s="3">
        <v>45168.0</v>
      </c>
      <c r="B365" s="4" t="str">
        <f t="shared" si="1"/>
        <v>T3</v>
      </c>
      <c r="C365" s="4" t="str">
        <f t="shared" si="2"/>
        <v>Sem 2</v>
      </c>
      <c r="D365" s="4" t="s">
        <v>7</v>
      </c>
      <c r="E365" s="4" t="s">
        <v>13</v>
      </c>
      <c r="F365" s="4" t="s">
        <v>31</v>
      </c>
      <c r="G365" s="5">
        <v>60.0</v>
      </c>
    </row>
    <row r="366" ht="22.5" customHeight="1">
      <c r="A366" s="3">
        <v>45169.0</v>
      </c>
      <c r="B366" s="4" t="str">
        <f t="shared" si="1"/>
        <v>T3</v>
      </c>
      <c r="C366" s="4" t="str">
        <f t="shared" si="2"/>
        <v>Sem 2</v>
      </c>
      <c r="D366" s="4" t="s">
        <v>7</v>
      </c>
      <c r="E366" s="4" t="s">
        <v>15</v>
      </c>
      <c r="F366" s="4" t="s">
        <v>32</v>
      </c>
      <c r="G366" s="5">
        <v>50.0</v>
      </c>
    </row>
    <row r="367" ht="22.5" customHeight="1">
      <c r="A367" s="3">
        <v>45171.0</v>
      </c>
      <c r="B367" s="4" t="str">
        <f t="shared" si="1"/>
        <v>T3</v>
      </c>
      <c r="C367" s="4" t="str">
        <f t="shared" si="2"/>
        <v>Sem 2</v>
      </c>
      <c r="D367" s="4" t="s">
        <v>7</v>
      </c>
      <c r="E367" s="4" t="s">
        <v>15</v>
      </c>
      <c r="F367" s="4" t="s">
        <v>16</v>
      </c>
      <c r="G367" s="5">
        <v>35.0</v>
      </c>
    </row>
    <row r="368" ht="22.5" customHeight="1">
      <c r="A368" s="3">
        <v>45171.0</v>
      </c>
      <c r="B368" s="4" t="str">
        <f t="shared" si="1"/>
        <v>T3</v>
      </c>
      <c r="C368" s="4" t="str">
        <f t="shared" si="2"/>
        <v>Sem 2</v>
      </c>
      <c r="D368" s="4" t="s">
        <v>7</v>
      </c>
      <c r="E368" s="4" t="s">
        <v>13</v>
      </c>
      <c r="F368" s="4" t="s">
        <v>17</v>
      </c>
      <c r="G368" s="5">
        <v>54.0</v>
      </c>
    </row>
    <row r="369" ht="22.5" customHeight="1">
      <c r="A369" s="3">
        <v>45174.0</v>
      </c>
      <c r="B369" s="4" t="str">
        <f t="shared" si="1"/>
        <v>T3</v>
      </c>
      <c r="C369" s="4" t="str">
        <f t="shared" si="2"/>
        <v>Sem 2</v>
      </c>
      <c r="D369" s="4" t="s">
        <v>7</v>
      </c>
      <c r="E369" s="4" t="s">
        <v>13</v>
      </c>
      <c r="F369" s="4" t="s">
        <v>18</v>
      </c>
      <c r="G369" s="5">
        <v>44.0</v>
      </c>
    </row>
    <row r="370" ht="22.5" customHeight="1">
      <c r="A370" s="3">
        <v>45174.0</v>
      </c>
      <c r="B370" s="4" t="str">
        <f t="shared" si="1"/>
        <v>T3</v>
      </c>
      <c r="C370" s="4" t="str">
        <f t="shared" si="2"/>
        <v>Sem 2</v>
      </c>
      <c r="D370" s="4" t="s">
        <v>7</v>
      </c>
      <c r="E370" s="4" t="s">
        <v>13</v>
      </c>
      <c r="F370" s="4" t="s">
        <v>14</v>
      </c>
      <c r="G370" s="5">
        <v>110.0</v>
      </c>
    </row>
    <row r="371" ht="22.5" customHeight="1">
      <c r="A371" s="3">
        <v>45175.0</v>
      </c>
      <c r="B371" s="4" t="str">
        <f t="shared" si="1"/>
        <v>T3</v>
      </c>
      <c r="C371" s="4" t="str">
        <f t="shared" si="2"/>
        <v>Sem 2</v>
      </c>
      <c r="D371" s="4" t="s">
        <v>7</v>
      </c>
      <c r="E371" s="4" t="s">
        <v>8</v>
      </c>
      <c r="F371" s="4" t="s">
        <v>9</v>
      </c>
      <c r="G371" s="5">
        <v>33.0</v>
      </c>
    </row>
    <row r="372" ht="22.5" customHeight="1">
      <c r="A372" s="3">
        <v>45176.0</v>
      </c>
      <c r="B372" s="4" t="str">
        <f t="shared" si="1"/>
        <v>T3</v>
      </c>
      <c r="C372" s="4" t="str">
        <f t="shared" si="2"/>
        <v>Sem 2</v>
      </c>
      <c r="D372" s="4" t="s">
        <v>7</v>
      </c>
      <c r="E372" s="4" t="s">
        <v>8</v>
      </c>
      <c r="F372" s="4" t="s">
        <v>9</v>
      </c>
      <c r="G372" s="5">
        <v>194.0</v>
      </c>
    </row>
    <row r="373" ht="22.5" customHeight="1">
      <c r="A373" s="3">
        <v>45177.0</v>
      </c>
      <c r="B373" s="4" t="str">
        <f t="shared" si="1"/>
        <v>T3</v>
      </c>
      <c r="C373" s="4" t="str">
        <f t="shared" si="2"/>
        <v>Sem 2</v>
      </c>
      <c r="D373" s="4" t="s">
        <v>7</v>
      </c>
      <c r="E373" s="4" t="s">
        <v>10</v>
      </c>
      <c r="F373" s="4" t="s">
        <v>11</v>
      </c>
      <c r="G373" s="5">
        <v>53.0</v>
      </c>
    </row>
    <row r="374" ht="22.5" customHeight="1">
      <c r="A374" s="3">
        <v>45178.0</v>
      </c>
      <c r="B374" s="4" t="str">
        <f t="shared" si="1"/>
        <v>T3</v>
      </c>
      <c r="C374" s="4" t="str">
        <f t="shared" si="2"/>
        <v>Sem 2</v>
      </c>
      <c r="D374" s="4" t="s">
        <v>7</v>
      </c>
      <c r="E374" s="4" t="s">
        <v>10</v>
      </c>
      <c r="F374" s="4" t="s">
        <v>12</v>
      </c>
      <c r="G374" s="5">
        <v>113.0</v>
      </c>
    </row>
    <row r="375" ht="22.5" customHeight="1">
      <c r="A375" s="3">
        <v>45178.0</v>
      </c>
      <c r="B375" s="4" t="str">
        <f t="shared" si="1"/>
        <v>T3</v>
      </c>
      <c r="C375" s="4" t="str">
        <f t="shared" si="2"/>
        <v>Sem 2</v>
      </c>
      <c r="D375" s="4" t="s">
        <v>7</v>
      </c>
      <c r="E375" s="4" t="s">
        <v>13</v>
      </c>
      <c r="F375" s="4" t="s">
        <v>14</v>
      </c>
      <c r="G375" s="5">
        <v>88.0</v>
      </c>
    </row>
    <row r="376" ht="22.5" customHeight="1">
      <c r="A376" s="3">
        <v>45178.0</v>
      </c>
      <c r="B376" s="4" t="str">
        <f t="shared" si="1"/>
        <v>T3</v>
      </c>
      <c r="C376" s="4" t="str">
        <f t="shared" si="2"/>
        <v>Sem 2</v>
      </c>
      <c r="D376" s="4" t="s">
        <v>7</v>
      </c>
      <c r="E376" s="4" t="s">
        <v>15</v>
      </c>
      <c r="F376" s="4" t="s">
        <v>16</v>
      </c>
      <c r="G376" s="5">
        <v>121.0</v>
      </c>
    </row>
    <row r="377" ht="22.5" customHeight="1">
      <c r="A377" s="3">
        <v>45179.0</v>
      </c>
      <c r="B377" s="4" t="str">
        <f t="shared" si="1"/>
        <v>T3</v>
      </c>
      <c r="C377" s="4" t="str">
        <f t="shared" si="2"/>
        <v>Sem 2</v>
      </c>
      <c r="D377" s="4" t="s">
        <v>7</v>
      </c>
      <c r="E377" s="4" t="s">
        <v>13</v>
      </c>
      <c r="F377" s="4" t="s">
        <v>17</v>
      </c>
      <c r="G377" s="5">
        <v>168.0</v>
      </c>
    </row>
    <row r="378" ht="22.5" customHeight="1">
      <c r="A378" s="3">
        <v>45180.0</v>
      </c>
      <c r="B378" s="4" t="str">
        <f t="shared" si="1"/>
        <v>T3</v>
      </c>
      <c r="C378" s="4" t="str">
        <f t="shared" si="2"/>
        <v>Sem 2</v>
      </c>
      <c r="D378" s="4" t="s">
        <v>7</v>
      </c>
      <c r="E378" s="4" t="s">
        <v>13</v>
      </c>
      <c r="F378" s="4" t="s">
        <v>18</v>
      </c>
      <c r="G378" s="5">
        <v>23.0</v>
      </c>
    </row>
    <row r="379" ht="22.5" customHeight="1">
      <c r="A379" s="3">
        <v>45180.0</v>
      </c>
      <c r="B379" s="4" t="str">
        <f t="shared" si="1"/>
        <v>T3</v>
      </c>
      <c r="C379" s="4" t="str">
        <f t="shared" si="2"/>
        <v>Sem 2</v>
      </c>
      <c r="D379" s="4" t="s">
        <v>7</v>
      </c>
      <c r="E379" s="4" t="s">
        <v>13</v>
      </c>
      <c r="F379" s="4" t="s">
        <v>14</v>
      </c>
      <c r="G379" s="5">
        <v>160.0</v>
      </c>
    </row>
    <row r="380" ht="22.5" customHeight="1">
      <c r="A380" s="3">
        <v>45181.0</v>
      </c>
      <c r="B380" s="4" t="str">
        <f t="shared" si="1"/>
        <v>T3</v>
      </c>
      <c r="C380" s="4" t="str">
        <f t="shared" si="2"/>
        <v>Sem 2</v>
      </c>
      <c r="D380" s="4" t="s">
        <v>7</v>
      </c>
      <c r="E380" s="4" t="s">
        <v>19</v>
      </c>
      <c r="F380" s="4" t="s">
        <v>20</v>
      </c>
      <c r="G380" s="5">
        <v>30.0</v>
      </c>
    </row>
    <row r="381" ht="22.5" customHeight="1">
      <c r="A381" s="3">
        <v>45181.0</v>
      </c>
      <c r="B381" s="4" t="str">
        <f t="shared" si="1"/>
        <v>T3</v>
      </c>
      <c r="C381" s="4" t="str">
        <f t="shared" si="2"/>
        <v>Sem 2</v>
      </c>
      <c r="D381" s="4" t="s">
        <v>7</v>
      </c>
      <c r="E381" s="4" t="s">
        <v>8</v>
      </c>
      <c r="F381" s="4" t="s">
        <v>9</v>
      </c>
      <c r="G381" s="5">
        <v>533.0</v>
      </c>
    </row>
    <row r="382" ht="22.5" customHeight="1">
      <c r="A382" s="3">
        <v>45182.0</v>
      </c>
      <c r="B382" s="4" t="str">
        <f t="shared" si="1"/>
        <v>T3</v>
      </c>
      <c r="C382" s="4" t="str">
        <f t="shared" si="2"/>
        <v>Sem 2</v>
      </c>
      <c r="D382" s="4" t="s">
        <v>7</v>
      </c>
      <c r="E382" s="4" t="s">
        <v>10</v>
      </c>
      <c r="F382" s="4" t="s">
        <v>11</v>
      </c>
      <c r="G382" s="5">
        <v>30.0</v>
      </c>
    </row>
    <row r="383" ht="22.5" customHeight="1">
      <c r="A383" s="3">
        <v>45182.0</v>
      </c>
      <c r="B383" s="4" t="str">
        <f t="shared" si="1"/>
        <v>T3</v>
      </c>
      <c r="C383" s="4" t="str">
        <f t="shared" si="2"/>
        <v>Sem 2</v>
      </c>
      <c r="D383" s="4" t="s">
        <v>7</v>
      </c>
      <c r="E383" s="4" t="s">
        <v>10</v>
      </c>
      <c r="F383" s="4" t="s">
        <v>12</v>
      </c>
      <c r="G383" s="5">
        <v>140.0</v>
      </c>
    </row>
    <row r="384" ht="22.5" customHeight="1">
      <c r="A384" s="3">
        <v>45182.0</v>
      </c>
      <c r="B384" s="4" t="str">
        <f t="shared" si="1"/>
        <v>T3</v>
      </c>
      <c r="C384" s="4" t="str">
        <f t="shared" si="2"/>
        <v>Sem 2</v>
      </c>
      <c r="D384" s="4" t="s">
        <v>7</v>
      </c>
      <c r="E384" s="4" t="s">
        <v>13</v>
      </c>
      <c r="F384" s="4" t="s">
        <v>14</v>
      </c>
      <c r="G384" s="5">
        <v>36.0</v>
      </c>
    </row>
    <row r="385" ht="22.5" customHeight="1">
      <c r="A385" s="3">
        <v>45183.0</v>
      </c>
      <c r="B385" s="4" t="str">
        <f t="shared" si="1"/>
        <v>T3</v>
      </c>
      <c r="C385" s="4" t="str">
        <f t="shared" si="2"/>
        <v>Sem 2</v>
      </c>
      <c r="D385" s="4" t="s">
        <v>7</v>
      </c>
      <c r="E385" s="4" t="s">
        <v>15</v>
      </c>
      <c r="F385" s="4" t="s">
        <v>16</v>
      </c>
      <c r="G385" s="5">
        <v>162.0</v>
      </c>
    </row>
    <row r="386" ht="22.5" customHeight="1">
      <c r="A386" s="3">
        <v>45185.0</v>
      </c>
      <c r="B386" s="4" t="str">
        <f t="shared" si="1"/>
        <v>T3</v>
      </c>
      <c r="C386" s="4" t="str">
        <f t="shared" si="2"/>
        <v>Sem 2</v>
      </c>
      <c r="D386" s="4" t="s">
        <v>7</v>
      </c>
      <c r="E386" s="4" t="s">
        <v>13</v>
      </c>
      <c r="F386" s="4" t="s">
        <v>17</v>
      </c>
      <c r="G386" s="5">
        <v>28.0</v>
      </c>
    </row>
    <row r="387" ht="22.5" customHeight="1">
      <c r="A387" s="3">
        <v>45185.0</v>
      </c>
      <c r="B387" s="4" t="str">
        <f t="shared" si="1"/>
        <v>T3</v>
      </c>
      <c r="C387" s="4" t="str">
        <f t="shared" si="2"/>
        <v>Sem 2</v>
      </c>
      <c r="D387" s="4" t="s">
        <v>7</v>
      </c>
      <c r="E387" s="4" t="s">
        <v>13</v>
      </c>
      <c r="F387" s="4" t="s">
        <v>18</v>
      </c>
      <c r="G387" s="5">
        <v>15.0</v>
      </c>
    </row>
    <row r="388" ht="22.5" customHeight="1">
      <c r="A388" s="3">
        <v>45185.0</v>
      </c>
      <c r="B388" s="4" t="str">
        <f t="shared" si="1"/>
        <v>T3</v>
      </c>
      <c r="C388" s="4" t="str">
        <f t="shared" si="2"/>
        <v>Sem 2</v>
      </c>
      <c r="D388" s="4" t="s">
        <v>7</v>
      </c>
      <c r="E388" s="4" t="s">
        <v>13</v>
      </c>
      <c r="F388" s="4" t="s">
        <v>14</v>
      </c>
      <c r="G388" s="5">
        <v>105.0</v>
      </c>
    </row>
    <row r="389" ht="22.5" customHeight="1">
      <c r="A389" s="3">
        <v>45186.0</v>
      </c>
      <c r="B389" s="4" t="str">
        <f t="shared" si="1"/>
        <v>T3</v>
      </c>
      <c r="C389" s="4" t="str">
        <f t="shared" si="2"/>
        <v>Sem 2</v>
      </c>
      <c r="D389" s="4" t="s">
        <v>7</v>
      </c>
      <c r="E389" s="4" t="s">
        <v>8</v>
      </c>
      <c r="F389" s="4" t="s">
        <v>9</v>
      </c>
      <c r="G389" s="5">
        <v>107.0</v>
      </c>
    </row>
    <row r="390" ht="22.5" customHeight="1">
      <c r="A390" s="3">
        <v>45187.0</v>
      </c>
      <c r="B390" s="4" t="str">
        <f t="shared" si="1"/>
        <v>T3</v>
      </c>
      <c r="C390" s="4" t="str">
        <f t="shared" si="2"/>
        <v>Sem 2</v>
      </c>
      <c r="D390" s="4" t="s">
        <v>7</v>
      </c>
      <c r="E390" s="4" t="s">
        <v>8</v>
      </c>
      <c r="F390" s="4" t="s">
        <v>9</v>
      </c>
      <c r="G390" s="5">
        <v>555.0</v>
      </c>
    </row>
    <row r="391" ht="22.5" customHeight="1">
      <c r="A391" s="3">
        <v>45187.0</v>
      </c>
      <c r="B391" s="4" t="str">
        <f t="shared" si="1"/>
        <v>T3</v>
      </c>
      <c r="C391" s="4" t="str">
        <f t="shared" si="2"/>
        <v>Sem 2</v>
      </c>
      <c r="D391" s="4" t="s">
        <v>7</v>
      </c>
      <c r="E391" s="4" t="s">
        <v>10</v>
      </c>
      <c r="F391" s="4" t="s">
        <v>11</v>
      </c>
      <c r="G391" s="5">
        <v>111.0</v>
      </c>
    </row>
    <row r="392" ht="22.5" customHeight="1">
      <c r="A392" s="3">
        <v>45188.0</v>
      </c>
      <c r="B392" s="4" t="str">
        <f t="shared" si="1"/>
        <v>T3</v>
      </c>
      <c r="C392" s="4" t="str">
        <f t="shared" si="2"/>
        <v>Sem 2</v>
      </c>
      <c r="D392" s="4" t="s">
        <v>7</v>
      </c>
      <c r="E392" s="4" t="s">
        <v>10</v>
      </c>
      <c r="F392" s="4" t="s">
        <v>12</v>
      </c>
      <c r="G392" s="5">
        <v>130.0</v>
      </c>
    </row>
    <row r="393" ht="22.5" customHeight="1">
      <c r="A393" s="3">
        <v>45188.0</v>
      </c>
      <c r="B393" s="4" t="str">
        <f t="shared" si="1"/>
        <v>T3</v>
      </c>
      <c r="C393" s="4" t="str">
        <f t="shared" si="2"/>
        <v>Sem 2</v>
      </c>
      <c r="D393" s="4" t="s">
        <v>21</v>
      </c>
      <c r="E393" s="4" t="s">
        <v>22</v>
      </c>
      <c r="F393" s="4" t="s">
        <v>23</v>
      </c>
      <c r="G393" s="5">
        <v>3000.0</v>
      </c>
    </row>
    <row r="394" ht="22.5" customHeight="1">
      <c r="A394" s="3">
        <v>45189.0</v>
      </c>
      <c r="B394" s="4" t="str">
        <f t="shared" si="1"/>
        <v>T3</v>
      </c>
      <c r="C394" s="4" t="str">
        <f t="shared" si="2"/>
        <v>Sem 2</v>
      </c>
      <c r="D394" s="4" t="s">
        <v>21</v>
      </c>
      <c r="E394" s="4" t="s">
        <v>24</v>
      </c>
      <c r="F394" s="4" t="s">
        <v>25</v>
      </c>
      <c r="G394" s="5">
        <v>2500.0</v>
      </c>
    </row>
    <row r="395" ht="22.5" customHeight="1">
      <c r="A395" s="3">
        <v>45189.0</v>
      </c>
      <c r="B395" s="4" t="str">
        <f t="shared" si="1"/>
        <v>T3</v>
      </c>
      <c r="C395" s="4" t="str">
        <f t="shared" si="2"/>
        <v>Sem 2</v>
      </c>
      <c r="D395" s="4" t="s">
        <v>7</v>
      </c>
      <c r="E395" s="4" t="s">
        <v>8</v>
      </c>
      <c r="F395" s="4" t="s">
        <v>26</v>
      </c>
      <c r="G395" s="5">
        <v>102.0</v>
      </c>
    </row>
    <row r="396" ht="22.5" customHeight="1">
      <c r="A396" s="3">
        <v>45191.0</v>
      </c>
      <c r="B396" s="4" t="str">
        <f t="shared" si="1"/>
        <v>T3</v>
      </c>
      <c r="C396" s="4" t="str">
        <f t="shared" si="2"/>
        <v>Sem 2</v>
      </c>
      <c r="D396" s="4" t="s">
        <v>7</v>
      </c>
      <c r="E396" s="4" t="s">
        <v>8</v>
      </c>
      <c r="F396" s="4" t="s">
        <v>27</v>
      </c>
      <c r="G396" s="5">
        <v>150.0</v>
      </c>
    </row>
    <row r="397" ht="22.5" customHeight="1">
      <c r="A397" s="3">
        <v>45192.0</v>
      </c>
      <c r="B397" s="4" t="str">
        <f t="shared" si="1"/>
        <v>T3</v>
      </c>
      <c r="C397" s="4" t="str">
        <f t="shared" si="2"/>
        <v>Sem 2</v>
      </c>
      <c r="D397" s="4" t="s">
        <v>7</v>
      </c>
      <c r="E397" s="4" t="s">
        <v>8</v>
      </c>
      <c r="F397" s="4" t="s">
        <v>9</v>
      </c>
      <c r="G397" s="5">
        <v>196.0</v>
      </c>
    </row>
    <row r="398" ht="22.5" customHeight="1">
      <c r="A398" s="3">
        <v>45192.0</v>
      </c>
      <c r="B398" s="4" t="str">
        <f t="shared" si="1"/>
        <v>T3</v>
      </c>
      <c r="C398" s="4" t="str">
        <f t="shared" si="2"/>
        <v>Sem 2</v>
      </c>
      <c r="D398" s="4" t="s">
        <v>7</v>
      </c>
      <c r="E398" s="4" t="s">
        <v>8</v>
      </c>
      <c r="F398" s="4" t="s">
        <v>28</v>
      </c>
      <c r="G398" s="5">
        <v>80.0</v>
      </c>
    </row>
    <row r="399" ht="22.5" customHeight="1">
      <c r="A399" s="3">
        <v>45194.0</v>
      </c>
      <c r="B399" s="4" t="str">
        <f t="shared" si="1"/>
        <v>T3</v>
      </c>
      <c r="C399" s="4" t="str">
        <f t="shared" si="2"/>
        <v>Sem 2</v>
      </c>
      <c r="D399" s="4" t="s">
        <v>7</v>
      </c>
      <c r="E399" s="4" t="s">
        <v>8</v>
      </c>
      <c r="F399" s="4" t="s">
        <v>28</v>
      </c>
      <c r="G399" s="5">
        <v>80.0</v>
      </c>
    </row>
    <row r="400" ht="22.5" customHeight="1">
      <c r="A400" s="3">
        <v>45197.0</v>
      </c>
      <c r="B400" s="4" t="str">
        <f t="shared" si="1"/>
        <v>T3</v>
      </c>
      <c r="C400" s="4" t="str">
        <f t="shared" si="2"/>
        <v>Sem 2</v>
      </c>
      <c r="D400" s="4" t="s">
        <v>7</v>
      </c>
      <c r="E400" s="4" t="s">
        <v>8</v>
      </c>
      <c r="F400" s="4" t="s">
        <v>29</v>
      </c>
      <c r="G400" s="5">
        <v>150.0</v>
      </c>
    </row>
    <row r="401" ht="22.5" customHeight="1">
      <c r="A401" s="3">
        <v>45197.0</v>
      </c>
      <c r="B401" s="4" t="str">
        <f t="shared" si="1"/>
        <v>T3</v>
      </c>
      <c r="C401" s="4" t="str">
        <f t="shared" si="2"/>
        <v>Sem 2</v>
      </c>
      <c r="D401" s="4" t="s">
        <v>7</v>
      </c>
      <c r="E401" s="4" t="s">
        <v>8</v>
      </c>
      <c r="F401" s="4" t="s">
        <v>30</v>
      </c>
      <c r="G401" s="5">
        <v>96.0</v>
      </c>
    </row>
    <row r="402" ht="22.5" customHeight="1">
      <c r="A402" s="3">
        <v>45198.0</v>
      </c>
      <c r="B402" s="4" t="str">
        <f t="shared" si="1"/>
        <v>T3</v>
      </c>
      <c r="C402" s="4" t="str">
        <f t="shared" si="2"/>
        <v>Sem 2</v>
      </c>
      <c r="D402" s="4" t="s">
        <v>7</v>
      </c>
      <c r="E402" s="4" t="s">
        <v>13</v>
      </c>
      <c r="F402" s="4" t="s">
        <v>31</v>
      </c>
      <c r="G402" s="5">
        <v>60.0</v>
      </c>
    </row>
    <row r="403" ht="22.5" customHeight="1">
      <c r="A403" s="3">
        <v>45198.0</v>
      </c>
      <c r="B403" s="4" t="str">
        <f t="shared" si="1"/>
        <v>T3</v>
      </c>
      <c r="C403" s="4" t="str">
        <f t="shared" si="2"/>
        <v>Sem 2</v>
      </c>
      <c r="D403" s="4" t="s">
        <v>7</v>
      </c>
      <c r="E403" s="4" t="s">
        <v>15</v>
      </c>
      <c r="F403" s="4" t="s">
        <v>32</v>
      </c>
      <c r="G403" s="5">
        <v>50.0</v>
      </c>
    </row>
    <row r="404" ht="22.5" customHeight="1">
      <c r="A404" s="3">
        <v>45200.0</v>
      </c>
      <c r="B404" s="4" t="str">
        <f t="shared" si="1"/>
        <v>T4</v>
      </c>
      <c r="C404" s="4" t="str">
        <f t="shared" si="2"/>
        <v>Sem 2</v>
      </c>
      <c r="D404" s="4" t="s">
        <v>7</v>
      </c>
      <c r="E404" s="4" t="s">
        <v>13</v>
      </c>
      <c r="F404" s="4" t="s">
        <v>17</v>
      </c>
      <c r="G404" s="5">
        <v>136.0</v>
      </c>
    </row>
    <row r="405" ht="22.5" customHeight="1">
      <c r="A405" s="3">
        <v>45201.0</v>
      </c>
      <c r="B405" s="4" t="str">
        <f t="shared" si="1"/>
        <v>T4</v>
      </c>
      <c r="C405" s="4" t="str">
        <f t="shared" si="2"/>
        <v>Sem 2</v>
      </c>
      <c r="D405" s="4" t="s">
        <v>7</v>
      </c>
      <c r="E405" s="4" t="s">
        <v>13</v>
      </c>
      <c r="F405" s="4" t="s">
        <v>18</v>
      </c>
      <c r="G405" s="5">
        <v>16.0</v>
      </c>
    </row>
    <row r="406" ht="22.5" customHeight="1">
      <c r="A406" s="3">
        <v>45201.0</v>
      </c>
      <c r="B406" s="4" t="str">
        <f t="shared" si="1"/>
        <v>T4</v>
      </c>
      <c r="C406" s="4" t="str">
        <f t="shared" si="2"/>
        <v>Sem 2</v>
      </c>
      <c r="D406" s="4" t="s">
        <v>7</v>
      </c>
      <c r="E406" s="4" t="s">
        <v>13</v>
      </c>
      <c r="F406" s="4" t="s">
        <v>14</v>
      </c>
      <c r="G406" s="5">
        <v>63.0</v>
      </c>
    </row>
    <row r="407" ht="22.5" customHeight="1">
      <c r="A407" s="3">
        <v>45201.0</v>
      </c>
      <c r="B407" s="4" t="str">
        <f t="shared" si="1"/>
        <v>T4</v>
      </c>
      <c r="C407" s="4" t="str">
        <f t="shared" si="2"/>
        <v>Sem 2</v>
      </c>
      <c r="D407" s="4" t="s">
        <v>7</v>
      </c>
      <c r="E407" s="4" t="s">
        <v>8</v>
      </c>
      <c r="F407" s="4" t="s">
        <v>9</v>
      </c>
      <c r="G407" s="5">
        <v>165.0</v>
      </c>
    </row>
    <row r="408" ht="22.5" customHeight="1">
      <c r="A408" s="3">
        <v>45202.0</v>
      </c>
      <c r="B408" s="4" t="str">
        <f t="shared" si="1"/>
        <v>T4</v>
      </c>
      <c r="C408" s="4" t="str">
        <f t="shared" si="2"/>
        <v>Sem 2</v>
      </c>
      <c r="D408" s="4" t="s">
        <v>7</v>
      </c>
      <c r="E408" s="4" t="s">
        <v>8</v>
      </c>
      <c r="F408" s="4" t="s">
        <v>9</v>
      </c>
      <c r="G408" s="5">
        <v>131.0</v>
      </c>
    </row>
    <row r="409" ht="22.5" customHeight="1">
      <c r="A409" s="3">
        <v>45203.0</v>
      </c>
      <c r="B409" s="4" t="str">
        <f t="shared" si="1"/>
        <v>T4</v>
      </c>
      <c r="C409" s="4" t="str">
        <f t="shared" si="2"/>
        <v>Sem 2</v>
      </c>
      <c r="D409" s="4" t="s">
        <v>7</v>
      </c>
      <c r="E409" s="4" t="s">
        <v>10</v>
      </c>
      <c r="F409" s="4" t="s">
        <v>11</v>
      </c>
      <c r="G409" s="5">
        <v>102.0</v>
      </c>
    </row>
    <row r="410" ht="22.5" customHeight="1">
      <c r="A410" s="3">
        <v>45203.0</v>
      </c>
      <c r="B410" s="4" t="str">
        <f t="shared" si="1"/>
        <v>T4</v>
      </c>
      <c r="C410" s="4" t="str">
        <f t="shared" si="2"/>
        <v>Sem 2</v>
      </c>
      <c r="D410" s="4" t="s">
        <v>7</v>
      </c>
      <c r="E410" s="4" t="s">
        <v>10</v>
      </c>
      <c r="F410" s="4" t="s">
        <v>12</v>
      </c>
      <c r="G410" s="5">
        <v>180.0</v>
      </c>
    </row>
    <row r="411" ht="22.5" customHeight="1">
      <c r="A411" s="3">
        <v>45203.0</v>
      </c>
      <c r="B411" s="4" t="str">
        <f t="shared" si="1"/>
        <v>T4</v>
      </c>
      <c r="C411" s="4" t="str">
        <f t="shared" si="2"/>
        <v>Sem 2</v>
      </c>
      <c r="D411" s="4" t="s">
        <v>7</v>
      </c>
      <c r="E411" s="4" t="s">
        <v>13</v>
      </c>
      <c r="F411" s="4" t="s">
        <v>14</v>
      </c>
      <c r="G411" s="5">
        <v>80.0</v>
      </c>
    </row>
    <row r="412" ht="22.5" customHeight="1">
      <c r="A412" s="3">
        <v>45204.0</v>
      </c>
      <c r="B412" s="4" t="str">
        <f t="shared" si="1"/>
        <v>T4</v>
      </c>
      <c r="C412" s="4" t="str">
        <f t="shared" si="2"/>
        <v>Sem 2</v>
      </c>
      <c r="D412" s="4" t="s">
        <v>7</v>
      </c>
      <c r="E412" s="4" t="s">
        <v>15</v>
      </c>
      <c r="F412" s="4" t="s">
        <v>16</v>
      </c>
      <c r="G412" s="5">
        <v>165.0</v>
      </c>
    </row>
    <row r="413" ht="22.5" customHeight="1">
      <c r="A413" s="3">
        <v>45204.0</v>
      </c>
      <c r="B413" s="4" t="str">
        <f t="shared" si="1"/>
        <v>T4</v>
      </c>
      <c r="C413" s="4" t="str">
        <f t="shared" si="2"/>
        <v>Sem 2</v>
      </c>
      <c r="D413" s="4" t="s">
        <v>7</v>
      </c>
      <c r="E413" s="4" t="s">
        <v>13</v>
      </c>
      <c r="F413" s="4" t="s">
        <v>17</v>
      </c>
      <c r="G413" s="5">
        <v>145.0</v>
      </c>
    </row>
    <row r="414" ht="22.5" customHeight="1">
      <c r="A414" s="3">
        <v>45206.0</v>
      </c>
      <c r="B414" s="4" t="str">
        <f t="shared" si="1"/>
        <v>T4</v>
      </c>
      <c r="C414" s="4" t="str">
        <f t="shared" si="2"/>
        <v>Sem 2</v>
      </c>
      <c r="D414" s="4" t="s">
        <v>7</v>
      </c>
      <c r="E414" s="4" t="s">
        <v>13</v>
      </c>
      <c r="F414" s="4" t="s">
        <v>18</v>
      </c>
      <c r="G414" s="5">
        <v>68.0</v>
      </c>
    </row>
    <row r="415" ht="22.5" customHeight="1">
      <c r="A415" s="3">
        <v>45207.0</v>
      </c>
      <c r="B415" s="4" t="str">
        <f t="shared" si="1"/>
        <v>T4</v>
      </c>
      <c r="C415" s="4" t="str">
        <f t="shared" si="2"/>
        <v>Sem 2</v>
      </c>
      <c r="D415" s="4" t="s">
        <v>7</v>
      </c>
      <c r="E415" s="4" t="s">
        <v>13</v>
      </c>
      <c r="F415" s="4" t="s">
        <v>14</v>
      </c>
      <c r="G415" s="5">
        <v>123.0</v>
      </c>
    </row>
    <row r="416" ht="22.5" customHeight="1">
      <c r="A416" s="3">
        <v>45207.0</v>
      </c>
      <c r="B416" s="4" t="str">
        <f t="shared" si="1"/>
        <v>T4</v>
      </c>
      <c r="C416" s="4" t="str">
        <f t="shared" si="2"/>
        <v>Sem 2</v>
      </c>
      <c r="D416" s="4" t="s">
        <v>7</v>
      </c>
      <c r="E416" s="4" t="s">
        <v>8</v>
      </c>
      <c r="F416" s="4" t="s">
        <v>9</v>
      </c>
      <c r="G416" s="5">
        <v>172.0</v>
      </c>
    </row>
    <row r="417" ht="22.5" customHeight="1">
      <c r="A417" s="3">
        <v>45207.0</v>
      </c>
      <c r="B417" s="4" t="str">
        <f t="shared" si="1"/>
        <v>T4</v>
      </c>
      <c r="C417" s="4" t="str">
        <f t="shared" si="2"/>
        <v>Sem 2</v>
      </c>
      <c r="D417" s="4" t="s">
        <v>7</v>
      </c>
      <c r="E417" s="4" t="s">
        <v>8</v>
      </c>
      <c r="F417" s="4" t="s">
        <v>9</v>
      </c>
      <c r="G417" s="5">
        <v>576.0</v>
      </c>
    </row>
    <row r="418" ht="22.5" customHeight="1">
      <c r="A418" s="3">
        <v>45208.0</v>
      </c>
      <c r="B418" s="4" t="str">
        <f t="shared" si="1"/>
        <v>T4</v>
      </c>
      <c r="C418" s="4" t="str">
        <f t="shared" si="2"/>
        <v>Sem 2</v>
      </c>
      <c r="D418" s="4" t="s">
        <v>7</v>
      </c>
      <c r="E418" s="4" t="s">
        <v>10</v>
      </c>
      <c r="F418" s="4" t="s">
        <v>11</v>
      </c>
      <c r="G418" s="5">
        <v>42.0</v>
      </c>
    </row>
    <row r="419" ht="22.5" customHeight="1">
      <c r="A419" s="6">
        <v>45211.0</v>
      </c>
      <c r="B419" s="4" t="str">
        <f t="shared" si="1"/>
        <v>T4</v>
      </c>
      <c r="C419" s="4" t="str">
        <f t="shared" si="2"/>
        <v>Sem 2</v>
      </c>
      <c r="D419" s="4" t="s">
        <v>7</v>
      </c>
      <c r="E419" s="4" t="s">
        <v>10</v>
      </c>
      <c r="F419" s="4" t="s">
        <v>12</v>
      </c>
      <c r="G419" s="5">
        <v>121.0</v>
      </c>
    </row>
    <row r="420" ht="22.5" customHeight="1">
      <c r="A420" s="6">
        <v>45211.0</v>
      </c>
      <c r="B420" s="4" t="str">
        <f t="shared" si="1"/>
        <v>T4</v>
      </c>
      <c r="C420" s="4" t="str">
        <f t="shared" si="2"/>
        <v>Sem 2</v>
      </c>
      <c r="D420" s="4" t="s">
        <v>7</v>
      </c>
      <c r="E420" s="4" t="s">
        <v>13</v>
      </c>
      <c r="F420" s="4" t="s">
        <v>14</v>
      </c>
      <c r="G420" s="5">
        <v>61.0</v>
      </c>
    </row>
    <row r="421" ht="22.5" customHeight="1">
      <c r="A421" s="6">
        <v>45211.0</v>
      </c>
      <c r="B421" s="4" t="str">
        <f t="shared" si="1"/>
        <v>T4</v>
      </c>
      <c r="C421" s="4" t="str">
        <f t="shared" si="2"/>
        <v>Sem 2</v>
      </c>
      <c r="D421" s="4" t="s">
        <v>7</v>
      </c>
      <c r="E421" s="4" t="s">
        <v>19</v>
      </c>
      <c r="F421" s="4" t="s">
        <v>33</v>
      </c>
      <c r="G421" s="5">
        <v>192.0</v>
      </c>
    </row>
    <row r="422" ht="22.5" customHeight="1">
      <c r="A422" s="6">
        <v>45211.0</v>
      </c>
      <c r="B422" s="4" t="str">
        <f t="shared" si="1"/>
        <v>T4</v>
      </c>
      <c r="C422" s="4" t="str">
        <f t="shared" si="2"/>
        <v>Sem 2</v>
      </c>
      <c r="D422" s="4" t="s">
        <v>7</v>
      </c>
      <c r="E422" s="4" t="s">
        <v>13</v>
      </c>
      <c r="F422" s="4" t="s">
        <v>17</v>
      </c>
      <c r="G422" s="5">
        <v>46.0</v>
      </c>
    </row>
    <row r="423" ht="22.5" customHeight="1">
      <c r="A423" s="6">
        <v>45211.0</v>
      </c>
      <c r="B423" s="4" t="str">
        <f t="shared" si="1"/>
        <v>T4</v>
      </c>
      <c r="C423" s="4" t="str">
        <f t="shared" si="2"/>
        <v>Sem 2</v>
      </c>
      <c r="D423" s="4" t="s">
        <v>7</v>
      </c>
      <c r="E423" s="4" t="s">
        <v>13</v>
      </c>
      <c r="F423" s="4" t="s">
        <v>18</v>
      </c>
      <c r="G423" s="5">
        <v>14.0</v>
      </c>
    </row>
    <row r="424" ht="22.5" customHeight="1">
      <c r="A424" s="6">
        <v>45211.0</v>
      </c>
      <c r="B424" s="4" t="str">
        <f t="shared" si="1"/>
        <v>T4</v>
      </c>
      <c r="C424" s="4" t="str">
        <f t="shared" si="2"/>
        <v>Sem 2</v>
      </c>
      <c r="D424" s="4" t="s">
        <v>7</v>
      </c>
      <c r="E424" s="4" t="s">
        <v>13</v>
      </c>
      <c r="F424" s="4" t="s">
        <v>14</v>
      </c>
      <c r="G424" s="5">
        <v>180.0</v>
      </c>
    </row>
    <row r="425" ht="22.5" customHeight="1">
      <c r="A425" s="6">
        <v>45212.0</v>
      </c>
      <c r="B425" s="4" t="str">
        <f t="shared" si="1"/>
        <v>T4</v>
      </c>
      <c r="C425" s="4" t="str">
        <f t="shared" si="2"/>
        <v>Sem 2</v>
      </c>
      <c r="D425" s="4" t="s">
        <v>7</v>
      </c>
      <c r="E425" s="4" t="s">
        <v>8</v>
      </c>
      <c r="F425" s="4" t="s">
        <v>9</v>
      </c>
      <c r="G425" s="5">
        <v>161.0</v>
      </c>
    </row>
    <row r="426" ht="22.5" customHeight="1">
      <c r="A426" s="6">
        <v>45212.0</v>
      </c>
      <c r="B426" s="4" t="str">
        <f t="shared" si="1"/>
        <v>T4</v>
      </c>
      <c r="C426" s="4" t="str">
        <f t="shared" si="2"/>
        <v>Sem 2</v>
      </c>
      <c r="D426" s="4" t="s">
        <v>7</v>
      </c>
      <c r="E426" s="4" t="s">
        <v>8</v>
      </c>
      <c r="F426" s="4" t="s">
        <v>9</v>
      </c>
      <c r="G426" s="5">
        <v>168.0</v>
      </c>
    </row>
    <row r="427" ht="22.5" customHeight="1">
      <c r="A427" s="6">
        <v>45212.0</v>
      </c>
      <c r="B427" s="4" t="str">
        <f t="shared" si="1"/>
        <v>T4</v>
      </c>
      <c r="C427" s="4" t="str">
        <f t="shared" si="2"/>
        <v>Sem 2</v>
      </c>
      <c r="D427" s="4" t="s">
        <v>7</v>
      </c>
      <c r="E427" s="4" t="s">
        <v>10</v>
      </c>
      <c r="F427" s="4" t="s">
        <v>11</v>
      </c>
      <c r="G427" s="5">
        <v>37.0</v>
      </c>
    </row>
    <row r="428" ht="22.5" customHeight="1">
      <c r="A428" s="6">
        <v>45213.0</v>
      </c>
      <c r="B428" s="4" t="str">
        <f t="shared" si="1"/>
        <v>T4</v>
      </c>
      <c r="C428" s="4" t="str">
        <f t="shared" si="2"/>
        <v>Sem 2</v>
      </c>
      <c r="D428" s="4" t="s">
        <v>7</v>
      </c>
      <c r="E428" s="4" t="s">
        <v>10</v>
      </c>
      <c r="F428" s="4" t="s">
        <v>12</v>
      </c>
      <c r="G428" s="5">
        <v>134.0</v>
      </c>
    </row>
    <row r="429" ht="22.5" customHeight="1">
      <c r="A429" s="6">
        <v>45214.0</v>
      </c>
      <c r="B429" s="4" t="str">
        <f t="shared" si="1"/>
        <v>T4</v>
      </c>
      <c r="C429" s="4" t="str">
        <f t="shared" si="2"/>
        <v>Sem 2</v>
      </c>
      <c r="D429" s="4" t="s">
        <v>7</v>
      </c>
      <c r="E429" s="4" t="s">
        <v>13</v>
      </c>
      <c r="F429" s="4" t="s">
        <v>14</v>
      </c>
      <c r="G429" s="5">
        <v>49.0</v>
      </c>
    </row>
    <row r="430" ht="22.5" customHeight="1">
      <c r="A430" s="6">
        <v>45214.0</v>
      </c>
      <c r="B430" s="4" t="str">
        <f t="shared" si="1"/>
        <v>T4</v>
      </c>
      <c r="C430" s="4" t="str">
        <f t="shared" si="2"/>
        <v>Sem 2</v>
      </c>
      <c r="D430" s="4" t="s">
        <v>7</v>
      </c>
      <c r="E430" s="4" t="s">
        <v>15</v>
      </c>
      <c r="F430" s="4" t="s">
        <v>16</v>
      </c>
      <c r="G430" s="5">
        <v>23.0</v>
      </c>
    </row>
    <row r="431" ht="22.5" customHeight="1">
      <c r="A431" s="6">
        <v>45215.0</v>
      </c>
      <c r="B431" s="4" t="str">
        <f t="shared" si="1"/>
        <v>T4</v>
      </c>
      <c r="C431" s="4" t="str">
        <f t="shared" si="2"/>
        <v>Sem 2</v>
      </c>
      <c r="D431" s="4" t="s">
        <v>7</v>
      </c>
      <c r="E431" s="4" t="s">
        <v>13</v>
      </c>
      <c r="F431" s="4" t="s">
        <v>17</v>
      </c>
      <c r="G431" s="5">
        <v>170.0</v>
      </c>
    </row>
    <row r="432" ht="22.5" customHeight="1">
      <c r="A432" s="6">
        <v>45215.0</v>
      </c>
      <c r="B432" s="4" t="str">
        <f t="shared" si="1"/>
        <v>T4</v>
      </c>
      <c r="C432" s="4" t="str">
        <f t="shared" si="2"/>
        <v>Sem 2</v>
      </c>
      <c r="D432" s="4" t="s">
        <v>7</v>
      </c>
      <c r="E432" s="4" t="s">
        <v>13</v>
      </c>
      <c r="F432" s="4" t="s">
        <v>18</v>
      </c>
      <c r="G432" s="5">
        <v>15.0</v>
      </c>
    </row>
    <row r="433" ht="22.5" customHeight="1">
      <c r="A433" s="6">
        <v>45216.0</v>
      </c>
      <c r="B433" s="4" t="str">
        <f t="shared" si="1"/>
        <v>T4</v>
      </c>
      <c r="C433" s="4" t="str">
        <f t="shared" si="2"/>
        <v>Sem 2</v>
      </c>
      <c r="D433" s="4" t="s">
        <v>7</v>
      </c>
      <c r="E433" s="4" t="s">
        <v>13</v>
      </c>
      <c r="F433" s="4" t="s">
        <v>14</v>
      </c>
      <c r="G433" s="5">
        <v>92.0</v>
      </c>
    </row>
    <row r="434" ht="22.5" customHeight="1">
      <c r="A434" s="6">
        <v>45217.0</v>
      </c>
      <c r="B434" s="4" t="str">
        <f t="shared" si="1"/>
        <v>T4</v>
      </c>
      <c r="C434" s="4" t="str">
        <f t="shared" si="2"/>
        <v>Sem 2</v>
      </c>
      <c r="D434" s="4" t="s">
        <v>7</v>
      </c>
      <c r="E434" s="4" t="s">
        <v>8</v>
      </c>
      <c r="F434" s="4" t="s">
        <v>9</v>
      </c>
      <c r="G434" s="5">
        <v>164.0</v>
      </c>
    </row>
    <row r="435" ht="22.5" customHeight="1">
      <c r="A435" s="6">
        <v>45218.0</v>
      </c>
      <c r="B435" s="4" t="str">
        <f t="shared" si="1"/>
        <v>T4</v>
      </c>
      <c r="C435" s="4" t="str">
        <f t="shared" si="2"/>
        <v>Sem 2</v>
      </c>
      <c r="D435" s="4" t="s">
        <v>7</v>
      </c>
      <c r="E435" s="4" t="s">
        <v>8</v>
      </c>
      <c r="F435" s="4" t="s">
        <v>9</v>
      </c>
      <c r="G435" s="5">
        <v>167.0</v>
      </c>
    </row>
    <row r="436" ht="22.5" customHeight="1">
      <c r="A436" s="6">
        <v>45218.0</v>
      </c>
      <c r="B436" s="4" t="str">
        <f t="shared" si="1"/>
        <v>T4</v>
      </c>
      <c r="C436" s="4" t="str">
        <f t="shared" si="2"/>
        <v>Sem 2</v>
      </c>
      <c r="D436" s="4" t="s">
        <v>7</v>
      </c>
      <c r="E436" s="4" t="s">
        <v>10</v>
      </c>
      <c r="F436" s="4" t="s">
        <v>11</v>
      </c>
      <c r="G436" s="5">
        <v>24.0</v>
      </c>
    </row>
    <row r="437" ht="22.5" customHeight="1">
      <c r="A437" s="6">
        <v>45220.0</v>
      </c>
      <c r="B437" s="4" t="str">
        <f t="shared" si="1"/>
        <v>T4</v>
      </c>
      <c r="C437" s="4" t="str">
        <f t="shared" si="2"/>
        <v>Sem 2</v>
      </c>
      <c r="D437" s="4" t="s">
        <v>7</v>
      </c>
      <c r="E437" s="4" t="s">
        <v>10</v>
      </c>
      <c r="F437" s="4" t="s">
        <v>12</v>
      </c>
      <c r="G437" s="5">
        <v>57.0</v>
      </c>
    </row>
    <row r="438" ht="22.5" customHeight="1">
      <c r="A438" s="6">
        <v>45220.0</v>
      </c>
      <c r="B438" s="4" t="str">
        <f t="shared" si="1"/>
        <v>T4</v>
      </c>
      <c r="C438" s="4" t="str">
        <f t="shared" si="2"/>
        <v>Sem 2</v>
      </c>
      <c r="D438" s="4" t="s">
        <v>7</v>
      </c>
      <c r="E438" s="4" t="s">
        <v>13</v>
      </c>
      <c r="F438" s="4" t="s">
        <v>14</v>
      </c>
      <c r="G438" s="5">
        <v>124.0</v>
      </c>
    </row>
    <row r="439" ht="22.5" customHeight="1">
      <c r="A439" s="6">
        <v>45220.0</v>
      </c>
      <c r="B439" s="4" t="str">
        <f t="shared" si="1"/>
        <v>T4</v>
      </c>
      <c r="C439" s="4" t="str">
        <f t="shared" si="2"/>
        <v>Sem 2</v>
      </c>
      <c r="D439" s="4" t="s">
        <v>7</v>
      </c>
      <c r="E439" s="4" t="s">
        <v>15</v>
      </c>
      <c r="F439" s="4" t="s">
        <v>16</v>
      </c>
      <c r="G439" s="5">
        <v>112.0</v>
      </c>
    </row>
    <row r="440" ht="22.5" customHeight="1">
      <c r="A440" s="6">
        <v>45221.0</v>
      </c>
      <c r="B440" s="4" t="str">
        <f t="shared" si="1"/>
        <v>T4</v>
      </c>
      <c r="C440" s="4" t="str">
        <f t="shared" si="2"/>
        <v>Sem 2</v>
      </c>
      <c r="D440" s="4" t="s">
        <v>7</v>
      </c>
      <c r="E440" s="4" t="s">
        <v>13</v>
      </c>
      <c r="F440" s="4" t="s">
        <v>17</v>
      </c>
      <c r="G440" s="5">
        <v>152.0</v>
      </c>
    </row>
    <row r="441" ht="22.5" customHeight="1">
      <c r="A441" s="6">
        <v>45221.0</v>
      </c>
      <c r="B441" s="4" t="str">
        <f t="shared" si="1"/>
        <v>T4</v>
      </c>
      <c r="C441" s="4" t="str">
        <f t="shared" si="2"/>
        <v>Sem 2</v>
      </c>
      <c r="D441" s="4" t="s">
        <v>7</v>
      </c>
      <c r="E441" s="4" t="s">
        <v>13</v>
      </c>
      <c r="F441" s="4" t="s">
        <v>18</v>
      </c>
      <c r="G441" s="5">
        <v>23.0</v>
      </c>
    </row>
    <row r="442" ht="22.5" customHeight="1">
      <c r="A442" s="6">
        <v>45221.0</v>
      </c>
      <c r="B442" s="4" t="str">
        <f t="shared" si="1"/>
        <v>T4</v>
      </c>
      <c r="C442" s="4" t="str">
        <f t="shared" si="2"/>
        <v>Sem 2</v>
      </c>
      <c r="D442" s="4" t="s">
        <v>7</v>
      </c>
      <c r="E442" s="4" t="s">
        <v>13</v>
      </c>
      <c r="F442" s="4" t="s">
        <v>14</v>
      </c>
      <c r="G442" s="5">
        <v>26.0</v>
      </c>
    </row>
    <row r="443" ht="22.5" customHeight="1">
      <c r="A443" s="6">
        <v>45222.0</v>
      </c>
      <c r="B443" s="4" t="str">
        <f t="shared" si="1"/>
        <v>T4</v>
      </c>
      <c r="C443" s="4" t="str">
        <f t="shared" si="2"/>
        <v>Sem 2</v>
      </c>
      <c r="D443" s="4" t="s">
        <v>7</v>
      </c>
      <c r="E443" s="4" t="s">
        <v>8</v>
      </c>
      <c r="F443" s="4" t="s">
        <v>9</v>
      </c>
      <c r="G443" s="5">
        <v>579.0</v>
      </c>
    </row>
    <row r="444" ht="22.5" customHeight="1">
      <c r="A444" s="6">
        <v>45222.0</v>
      </c>
      <c r="B444" s="4" t="str">
        <f t="shared" si="1"/>
        <v>T4</v>
      </c>
      <c r="C444" s="4" t="str">
        <f t="shared" si="2"/>
        <v>Sem 2</v>
      </c>
      <c r="D444" s="4" t="s">
        <v>7</v>
      </c>
      <c r="E444" s="4" t="s">
        <v>8</v>
      </c>
      <c r="F444" s="4" t="s">
        <v>9</v>
      </c>
      <c r="G444" s="5">
        <v>176.0</v>
      </c>
    </row>
    <row r="445" ht="22.5" customHeight="1">
      <c r="A445" s="6">
        <v>45223.0</v>
      </c>
      <c r="B445" s="4" t="str">
        <f t="shared" si="1"/>
        <v>T4</v>
      </c>
      <c r="C445" s="4" t="str">
        <f t="shared" si="2"/>
        <v>Sem 2</v>
      </c>
      <c r="D445" s="4" t="s">
        <v>7</v>
      </c>
      <c r="E445" s="4" t="s">
        <v>10</v>
      </c>
      <c r="F445" s="4" t="s">
        <v>11</v>
      </c>
      <c r="G445" s="5">
        <v>140.0</v>
      </c>
    </row>
    <row r="446" ht="22.5" customHeight="1">
      <c r="A446" s="6">
        <v>45223.0</v>
      </c>
      <c r="B446" s="4" t="str">
        <f t="shared" si="1"/>
        <v>T4</v>
      </c>
      <c r="C446" s="4" t="str">
        <f t="shared" si="2"/>
        <v>Sem 2</v>
      </c>
      <c r="D446" s="4" t="s">
        <v>7</v>
      </c>
      <c r="E446" s="4" t="s">
        <v>10</v>
      </c>
      <c r="F446" s="4" t="s">
        <v>12</v>
      </c>
      <c r="G446" s="5">
        <v>67.0</v>
      </c>
    </row>
    <row r="447" ht="22.5" customHeight="1">
      <c r="A447" s="6">
        <v>45223.0</v>
      </c>
      <c r="B447" s="4" t="str">
        <f t="shared" si="1"/>
        <v>T4</v>
      </c>
      <c r="C447" s="4" t="str">
        <f t="shared" si="2"/>
        <v>Sem 2</v>
      </c>
      <c r="D447" s="4" t="s">
        <v>7</v>
      </c>
      <c r="E447" s="4" t="s">
        <v>13</v>
      </c>
      <c r="F447" s="4" t="s">
        <v>14</v>
      </c>
      <c r="G447" s="5">
        <v>146.0</v>
      </c>
    </row>
    <row r="448" ht="22.5" customHeight="1">
      <c r="A448" s="6">
        <v>45223.0</v>
      </c>
      <c r="B448" s="4" t="str">
        <f t="shared" si="1"/>
        <v>T4</v>
      </c>
      <c r="C448" s="4" t="str">
        <f t="shared" si="2"/>
        <v>Sem 2</v>
      </c>
      <c r="D448" s="4" t="s">
        <v>7</v>
      </c>
      <c r="E448" s="4" t="s">
        <v>15</v>
      </c>
      <c r="F448" s="4" t="s">
        <v>16</v>
      </c>
      <c r="G448" s="5">
        <v>183.0</v>
      </c>
    </row>
    <row r="449" ht="22.5" customHeight="1">
      <c r="A449" s="6">
        <v>45223.0</v>
      </c>
      <c r="B449" s="4" t="str">
        <f t="shared" si="1"/>
        <v>T4</v>
      </c>
      <c r="C449" s="4" t="str">
        <f t="shared" si="2"/>
        <v>Sem 2</v>
      </c>
      <c r="D449" s="4" t="s">
        <v>7</v>
      </c>
      <c r="E449" s="4" t="s">
        <v>13</v>
      </c>
      <c r="F449" s="4" t="s">
        <v>17</v>
      </c>
      <c r="G449" s="5">
        <v>178.0</v>
      </c>
    </row>
    <row r="450" ht="22.5" customHeight="1">
      <c r="A450" s="6">
        <v>45224.0</v>
      </c>
      <c r="B450" s="4" t="str">
        <f t="shared" si="1"/>
        <v>T4</v>
      </c>
      <c r="C450" s="4" t="str">
        <f t="shared" si="2"/>
        <v>Sem 2</v>
      </c>
      <c r="D450" s="4" t="s">
        <v>21</v>
      </c>
      <c r="E450" s="4" t="s">
        <v>22</v>
      </c>
      <c r="F450" s="4" t="s">
        <v>23</v>
      </c>
      <c r="G450" s="5">
        <v>3000.0</v>
      </c>
    </row>
    <row r="451" ht="22.5" customHeight="1">
      <c r="A451" s="6">
        <v>45224.0</v>
      </c>
      <c r="B451" s="4" t="str">
        <f t="shared" si="1"/>
        <v>T4</v>
      </c>
      <c r="C451" s="4" t="str">
        <f t="shared" si="2"/>
        <v>Sem 2</v>
      </c>
      <c r="D451" s="4" t="s">
        <v>21</v>
      </c>
      <c r="E451" s="4" t="s">
        <v>24</v>
      </c>
      <c r="F451" s="4" t="s">
        <v>25</v>
      </c>
      <c r="G451" s="5">
        <v>1900.0</v>
      </c>
    </row>
    <row r="452" ht="22.5" customHeight="1">
      <c r="A452" s="6">
        <v>45227.0</v>
      </c>
      <c r="B452" s="4" t="str">
        <f t="shared" si="1"/>
        <v>T4</v>
      </c>
      <c r="C452" s="4" t="str">
        <f t="shared" si="2"/>
        <v>Sem 2</v>
      </c>
      <c r="D452" s="4" t="s">
        <v>7</v>
      </c>
      <c r="E452" s="4" t="s">
        <v>8</v>
      </c>
      <c r="F452" s="4" t="s">
        <v>26</v>
      </c>
      <c r="G452" s="5">
        <v>33.0</v>
      </c>
    </row>
    <row r="453" ht="22.5" customHeight="1">
      <c r="A453" s="6">
        <v>45227.0</v>
      </c>
      <c r="B453" s="4" t="str">
        <f t="shared" si="1"/>
        <v>T4</v>
      </c>
      <c r="C453" s="4" t="str">
        <f t="shared" si="2"/>
        <v>Sem 2</v>
      </c>
      <c r="D453" s="4" t="s">
        <v>7</v>
      </c>
      <c r="E453" s="4" t="s">
        <v>8</v>
      </c>
      <c r="F453" s="4" t="s">
        <v>27</v>
      </c>
      <c r="G453" s="5">
        <v>200.0</v>
      </c>
    </row>
    <row r="454" ht="22.5" customHeight="1">
      <c r="A454" s="6">
        <v>45227.0</v>
      </c>
      <c r="B454" s="4" t="str">
        <f t="shared" si="1"/>
        <v>T4</v>
      </c>
      <c r="C454" s="4" t="str">
        <f t="shared" si="2"/>
        <v>Sem 2</v>
      </c>
      <c r="D454" s="4" t="s">
        <v>7</v>
      </c>
      <c r="E454" s="4" t="s">
        <v>8</v>
      </c>
      <c r="F454" s="4" t="s">
        <v>9</v>
      </c>
      <c r="G454" s="5">
        <v>68.0</v>
      </c>
    </row>
    <row r="455" ht="22.5" customHeight="1">
      <c r="A455" s="6">
        <v>45227.0</v>
      </c>
      <c r="B455" s="4" t="str">
        <f t="shared" si="1"/>
        <v>T4</v>
      </c>
      <c r="C455" s="4" t="str">
        <f t="shared" si="2"/>
        <v>Sem 2</v>
      </c>
      <c r="D455" s="4" t="s">
        <v>7</v>
      </c>
      <c r="E455" s="4" t="s">
        <v>8</v>
      </c>
      <c r="F455" s="4" t="s">
        <v>28</v>
      </c>
      <c r="G455" s="5">
        <v>80.0</v>
      </c>
    </row>
    <row r="456" ht="22.5" customHeight="1">
      <c r="A456" s="6">
        <v>45228.0</v>
      </c>
      <c r="B456" s="4" t="str">
        <f t="shared" si="1"/>
        <v>T4</v>
      </c>
      <c r="C456" s="4" t="str">
        <f t="shared" si="2"/>
        <v>Sem 2</v>
      </c>
      <c r="D456" s="4" t="s">
        <v>7</v>
      </c>
      <c r="E456" s="4" t="s">
        <v>8</v>
      </c>
      <c r="F456" s="4" t="s">
        <v>28</v>
      </c>
      <c r="G456" s="5">
        <v>80.0</v>
      </c>
    </row>
    <row r="457" ht="22.5" customHeight="1">
      <c r="A457" s="6">
        <v>45229.0</v>
      </c>
      <c r="B457" s="4" t="str">
        <f t="shared" si="1"/>
        <v>T4</v>
      </c>
      <c r="C457" s="4" t="str">
        <f t="shared" si="2"/>
        <v>Sem 2</v>
      </c>
      <c r="D457" s="4" t="s">
        <v>7</v>
      </c>
      <c r="E457" s="4" t="s">
        <v>8</v>
      </c>
      <c r="F457" s="4" t="s">
        <v>29</v>
      </c>
      <c r="G457" s="5">
        <v>25.0</v>
      </c>
    </row>
    <row r="458" ht="22.5" customHeight="1">
      <c r="A458" s="6">
        <v>45230.0</v>
      </c>
      <c r="B458" s="4" t="str">
        <f t="shared" si="1"/>
        <v>T4</v>
      </c>
      <c r="C458" s="4" t="str">
        <f t="shared" si="2"/>
        <v>Sem 2</v>
      </c>
      <c r="D458" s="4" t="s">
        <v>7</v>
      </c>
      <c r="E458" s="4" t="s">
        <v>8</v>
      </c>
      <c r="F458" s="4" t="s">
        <v>30</v>
      </c>
      <c r="G458" s="5">
        <v>86.0</v>
      </c>
    </row>
    <row r="459" ht="22.5" customHeight="1">
      <c r="A459" s="6">
        <v>45230.0</v>
      </c>
      <c r="B459" s="4" t="str">
        <f t="shared" si="1"/>
        <v>T4</v>
      </c>
      <c r="C459" s="4" t="str">
        <f t="shared" si="2"/>
        <v>Sem 2</v>
      </c>
      <c r="D459" s="4" t="s">
        <v>7</v>
      </c>
      <c r="E459" s="4" t="s">
        <v>13</v>
      </c>
      <c r="F459" s="4" t="s">
        <v>31</v>
      </c>
      <c r="G459" s="5">
        <v>60.0</v>
      </c>
    </row>
    <row r="460" ht="22.5" customHeight="1">
      <c r="A460" s="6">
        <v>45230.0</v>
      </c>
      <c r="B460" s="4" t="str">
        <f t="shared" si="1"/>
        <v>T4</v>
      </c>
      <c r="C460" s="4" t="str">
        <f t="shared" si="2"/>
        <v>Sem 2</v>
      </c>
      <c r="D460" s="4" t="s">
        <v>7</v>
      </c>
      <c r="E460" s="4" t="s">
        <v>15</v>
      </c>
      <c r="F460" s="4" t="s">
        <v>32</v>
      </c>
      <c r="G460" s="5">
        <v>50.0</v>
      </c>
    </row>
    <row r="461" ht="22.5" customHeight="1">
      <c r="A461" s="3">
        <v>45231.0</v>
      </c>
      <c r="B461" s="4" t="str">
        <f t="shared" si="1"/>
        <v>T4</v>
      </c>
      <c r="C461" s="4" t="str">
        <f t="shared" si="2"/>
        <v>Sem 2</v>
      </c>
      <c r="D461" s="4" t="s">
        <v>7</v>
      </c>
      <c r="E461" s="4" t="s">
        <v>8</v>
      </c>
      <c r="F461" s="4" t="s">
        <v>9</v>
      </c>
      <c r="G461" s="5">
        <v>107.0</v>
      </c>
    </row>
    <row r="462" ht="22.5" customHeight="1">
      <c r="A462" s="3">
        <v>45232.0</v>
      </c>
      <c r="B462" s="4" t="str">
        <f t="shared" si="1"/>
        <v>T4</v>
      </c>
      <c r="C462" s="4" t="str">
        <f t="shared" si="2"/>
        <v>Sem 2</v>
      </c>
      <c r="D462" s="4" t="s">
        <v>7</v>
      </c>
      <c r="E462" s="4" t="s">
        <v>8</v>
      </c>
      <c r="F462" s="4" t="s">
        <v>9</v>
      </c>
      <c r="G462" s="5">
        <v>159.0</v>
      </c>
    </row>
    <row r="463" ht="22.5" customHeight="1">
      <c r="A463" s="3">
        <v>45235.0</v>
      </c>
      <c r="B463" s="4" t="str">
        <f t="shared" si="1"/>
        <v>T4</v>
      </c>
      <c r="C463" s="4" t="str">
        <f t="shared" si="2"/>
        <v>Sem 2</v>
      </c>
      <c r="D463" s="4" t="s">
        <v>7</v>
      </c>
      <c r="E463" s="4" t="s">
        <v>10</v>
      </c>
      <c r="F463" s="4" t="s">
        <v>11</v>
      </c>
      <c r="G463" s="5">
        <v>110.0</v>
      </c>
    </row>
    <row r="464" ht="22.5" customHeight="1">
      <c r="A464" s="3">
        <v>45235.0</v>
      </c>
      <c r="B464" s="4" t="str">
        <f t="shared" si="1"/>
        <v>T4</v>
      </c>
      <c r="C464" s="4" t="str">
        <f t="shared" si="2"/>
        <v>Sem 2</v>
      </c>
      <c r="D464" s="4" t="s">
        <v>7</v>
      </c>
      <c r="E464" s="4" t="s">
        <v>10</v>
      </c>
      <c r="F464" s="4" t="s">
        <v>12</v>
      </c>
      <c r="G464" s="5">
        <v>39.0</v>
      </c>
    </row>
    <row r="465" ht="22.5" customHeight="1">
      <c r="A465" s="3">
        <v>45236.0</v>
      </c>
      <c r="B465" s="4" t="str">
        <f t="shared" si="1"/>
        <v>T4</v>
      </c>
      <c r="C465" s="4" t="str">
        <f t="shared" si="2"/>
        <v>Sem 2</v>
      </c>
      <c r="D465" s="4" t="s">
        <v>7</v>
      </c>
      <c r="E465" s="4" t="s">
        <v>13</v>
      </c>
      <c r="F465" s="4" t="s">
        <v>14</v>
      </c>
      <c r="G465" s="5">
        <v>178.0</v>
      </c>
    </row>
    <row r="466" ht="22.5" customHeight="1">
      <c r="A466" s="3">
        <v>45237.0</v>
      </c>
      <c r="B466" s="4" t="str">
        <f t="shared" si="1"/>
        <v>T4</v>
      </c>
      <c r="C466" s="4" t="str">
        <f t="shared" si="2"/>
        <v>Sem 2</v>
      </c>
      <c r="D466" s="4" t="s">
        <v>7</v>
      </c>
      <c r="E466" s="4" t="s">
        <v>15</v>
      </c>
      <c r="F466" s="4" t="s">
        <v>16</v>
      </c>
      <c r="G466" s="5">
        <v>94.0</v>
      </c>
    </row>
    <row r="467" ht="22.5" customHeight="1">
      <c r="A467" s="3">
        <v>45237.0</v>
      </c>
      <c r="B467" s="4" t="str">
        <f t="shared" si="1"/>
        <v>T4</v>
      </c>
      <c r="C467" s="4" t="str">
        <f t="shared" si="2"/>
        <v>Sem 2</v>
      </c>
      <c r="D467" s="4" t="s">
        <v>7</v>
      </c>
      <c r="E467" s="4" t="s">
        <v>13</v>
      </c>
      <c r="F467" s="4" t="s">
        <v>17</v>
      </c>
      <c r="G467" s="5">
        <v>37.0</v>
      </c>
    </row>
    <row r="468" ht="22.5" customHeight="1">
      <c r="A468" s="3">
        <v>45238.0</v>
      </c>
      <c r="B468" s="4" t="str">
        <f t="shared" si="1"/>
        <v>T4</v>
      </c>
      <c r="C468" s="4" t="str">
        <f t="shared" si="2"/>
        <v>Sem 2</v>
      </c>
      <c r="D468" s="4" t="s">
        <v>7</v>
      </c>
      <c r="E468" s="4" t="s">
        <v>13</v>
      </c>
      <c r="F468" s="4" t="s">
        <v>18</v>
      </c>
      <c r="G468" s="5">
        <v>24.0</v>
      </c>
    </row>
    <row r="469" ht="22.5" customHeight="1">
      <c r="A469" s="3">
        <v>45238.0</v>
      </c>
      <c r="B469" s="4" t="str">
        <f t="shared" si="1"/>
        <v>T4</v>
      </c>
      <c r="C469" s="4" t="str">
        <f t="shared" si="2"/>
        <v>Sem 2</v>
      </c>
      <c r="D469" s="4" t="s">
        <v>7</v>
      </c>
      <c r="E469" s="4" t="s">
        <v>13</v>
      </c>
      <c r="F469" s="4" t="s">
        <v>14</v>
      </c>
      <c r="G469" s="5">
        <v>22.0</v>
      </c>
    </row>
    <row r="470" ht="22.5" customHeight="1">
      <c r="A470" s="3">
        <v>45238.0</v>
      </c>
      <c r="B470" s="4" t="str">
        <f t="shared" si="1"/>
        <v>T4</v>
      </c>
      <c r="C470" s="4" t="str">
        <f t="shared" si="2"/>
        <v>Sem 2</v>
      </c>
      <c r="D470" s="4" t="s">
        <v>7</v>
      </c>
      <c r="E470" s="4" t="s">
        <v>8</v>
      </c>
      <c r="F470" s="4" t="s">
        <v>9</v>
      </c>
      <c r="G470" s="5">
        <v>142.0</v>
      </c>
    </row>
    <row r="471" ht="22.5" customHeight="1">
      <c r="A471" s="3">
        <v>45239.0</v>
      </c>
      <c r="B471" s="4" t="str">
        <f t="shared" si="1"/>
        <v>T4</v>
      </c>
      <c r="C471" s="4" t="str">
        <f t="shared" si="2"/>
        <v>Sem 2</v>
      </c>
      <c r="D471" s="4" t="s">
        <v>7</v>
      </c>
      <c r="E471" s="4" t="s">
        <v>19</v>
      </c>
      <c r="F471" s="4" t="s">
        <v>20</v>
      </c>
      <c r="G471" s="5">
        <v>50.0</v>
      </c>
    </row>
    <row r="472" ht="22.5" customHeight="1">
      <c r="A472" s="6">
        <v>45240.0</v>
      </c>
      <c r="B472" s="4" t="str">
        <f t="shared" si="1"/>
        <v>T4</v>
      </c>
      <c r="C472" s="4" t="str">
        <f t="shared" si="2"/>
        <v>Sem 2</v>
      </c>
      <c r="D472" s="4" t="s">
        <v>7</v>
      </c>
      <c r="E472" s="4" t="s">
        <v>10</v>
      </c>
      <c r="F472" s="4" t="s">
        <v>11</v>
      </c>
      <c r="G472" s="5">
        <v>70.0</v>
      </c>
    </row>
    <row r="473" ht="22.5" customHeight="1">
      <c r="A473" s="6">
        <v>45243.0</v>
      </c>
      <c r="B473" s="4" t="str">
        <f t="shared" si="1"/>
        <v>T4</v>
      </c>
      <c r="C473" s="4" t="str">
        <f t="shared" si="2"/>
        <v>Sem 2</v>
      </c>
      <c r="D473" s="4" t="s">
        <v>7</v>
      </c>
      <c r="E473" s="4" t="s">
        <v>10</v>
      </c>
      <c r="F473" s="4" t="s">
        <v>12</v>
      </c>
      <c r="G473" s="5">
        <v>192.0</v>
      </c>
    </row>
    <row r="474" ht="22.5" customHeight="1">
      <c r="A474" s="6">
        <v>45243.0</v>
      </c>
      <c r="B474" s="4" t="str">
        <f t="shared" si="1"/>
        <v>T4</v>
      </c>
      <c r="C474" s="4" t="str">
        <f t="shared" si="2"/>
        <v>Sem 2</v>
      </c>
      <c r="D474" s="4" t="s">
        <v>7</v>
      </c>
      <c r="E474" s="4" t="s">
        <v>13</v>
      </c>
      <c r="F474" s="4" t="s">
        <v>14</v>
      </c>
      <c r="G474" s="5">
        <v>76.0</v>
      </c>
    </row>
    <row r="475" ht="22.5" customHeight="1">
      <c r="A475" s="6">
        <v>45245.0</v>
      </c>
      <c r="B475" s="4" t="str">
        <f t="shared" si="1"/>
        <v>T4</v>
      </c>
      <c r="C475" s="4" t="str">
        <f t="shared" si="2"/>
        <v>Sem 2</v>
      </c>
      <c r="D475" s="4" t="s">
        <v>7</v>
      </c>
      <c r="E475" s="4" t="s">
        <v>15</v>
      </c>
      <c r="F475" s="4" t="s">
        <v>16</v>
      </c>
      <c r="G475" s="5">
        <v>47.0</v>
      </c>
    </row>
    <row r="476" ht="22.5" customHeight="1">
      <c r="A476" s="6">
        <v>45246.0</v>
      </c>
      <c r="B476" s="4" t="str">
        <f t="shared" si="1"/>
        <v>T4</v>
      </c>
      <c r="C476" s="4" t="str">
        <f t="shared" si="2"/>
        <v>Sem 2</v>
      </c>
      <c r="D476" s="4" t="s">
        <v>7</v>
      </c>
      <c r="E476" s="4" t="s">
        <v>13</v>
      </c>
      <c r="F476" s="4" t="s">
        <v>17</v>
      </c>
      <c r="G476" s="5">
        <v>113.0</v>
      </c>
    </row>
    <row r="477" ht="22.5" customHeight="1">
      <c r="A477" s="6">
        <v>45246.0</v>
      </c>
      <c r="B477" s="4" t="str">
        <f t="shared" si="1"/>
        <v>T4</v>
      </c>
      <c r="C477" s="4" t="str">
        <f t="shared" si="2"/>
        <v>Sem 2</v>
      </c>
      <c r="D477" s="4" t="s">
        <v>7</v>
      </c>
      <c r="E477" s="4" t="s">
        <v>13</v>
      </c>
      <c r="F477" s="4" t="s">
        <v>18</v>
      </c>
      <c r="G477" s="5">
        <v>13.0</v>
      </c>
    </row>
    <row r="478" ht="22.5" customHeight="1">
      <c r="A478" s="6">
        <v>45246.0</v>
      </c>
      <c r="B478" s="4" t="str">
        <f t="shared" si="1"/>
        <v>T4</v>
      </c>
      <c r="C478" s="4" t="str">
        <f t="shared" si="2"/>
        <v>Sem 2</v>
      </c>
      <c r="D478" s="4" t="s">
        <v>7</v>
      </c>
      <c r="E478" s="4" t="s">
        <v>13</v>
      </c>
      <c r="F478" s="4" t="s">
        <v>14</v>
      </c>
      <c r="G478" s="5">
        <v>177.0</v>
      </c>
    </row>
    <row r="479" ht="22.5" customHeight="1">
      <c r="A479" s="6">
        <v>45246.0</v>
      </c>
      <c r="B479" s="4" t="str">
        <f t="shared" si="1"/>
        <v>T4</v>
      </c>
      <c r="C479" s="4" t="str">
        <f t="shared" si="2"/>
        <v>Sem 2</v>
      </c>
      <c r="D479" s="4" t="s">
        <v>7</v>
      </c>
      <c r="E479" s="4" t="s">
        <v>8</v>
      </c>
      <c r="F479" s="4" t="s">
        <v>9</v>
      </c>
      <c r="G479" s="5">
        <v>599.0</v>
      </c>
    </row>
    <row r="480" ht="22.5" customHeight="1">
      <c r="A480" s="6">
        <v>45246.0</v>
      </c>
      <c r="B480" s="4" t="str">
        <f t="shared" si="1"/>
        <v>T4</v>
      </c>
      <c r="C480" s="4" t="str">
        <f t="shared" si="2"/>
        <v>Sem 2</v>
      </c>
      <c r="D480" s="4" t="s">
        <v>7</v>
      </c>
      <c r="E480" s="4" t="s">
        <v>8</v>
      </c>
      <c r="F480" s="4" t="s">
        <v>9</v>
      </c>
      <c r="G480" s="5">
        <v>581.0</v>
      </c>
    </row>
    <row r="481" ht="22.5" customHeight="1">
      <c r="A481" s="6">
        <v>45247.0</v>
      </c>
      <c r="B481" s="4" t="str">
        <f t="shared" si="1"/>
        <v>T4</v>
      </c>
      <c r="C481" s="4" t="str">
        <f t="shared" si="2"/>
        <v>Sem 2</v>
      </c>
      <c r="D481" s="4" t="s">
        <v>7</v>
      </c>
      <c r="E481" s="4" t="s">
        <v>10</v>
      </c>
      <c r="F481" s="4" t="s">
        <v>11</v>
      </c>
      <c r="G481" s="5">
        <v>129.0</v>
      </c>
    </row>
    <row r="482" ht="22.5" customHeight="1">
      <c r="A482" s="6">
        <v>45247.0</v>
      </c>
      <c r="B482" s="4" t="str">
        <f t="shared" si="1"/>
        <v>T4</v>
      </c>
      <c r="C482" s="4" t="str">
        <f t="shared" si="2"/>
        <v>Sem 2</v>
      </c>
      <c r="D482" s="4" t="s">
        <v>7</v>
      </c>
      <c r="E482" s="4" t="s">
        <v>10</v>
      </c>
      <c r="F482" s="4" t="s">
        <v>12</v>
      </c>
      <c r="G482" s="5">
        <v>192.0</v>
      </c>
    </row>
    <row r="483" ht="22.5" customHeight="1">
      <c r="A483" s="6">
        <v>45248.0</v>
      </c>
      <c r="B483" s="4" t="str">
        <f t="shared" si="1"/>
        <v>T4</v>
      </c>
      <c r="C483" s="4" t="str">
        <f t="shared" si="2"/>
        <v>Sem 2</v>
      </c>
      <c r="D483" s="4" t="s">
        <v>7</v>
      </c>
      <c r="E483" s="4" t="s">
        <v>13</v>
      </c>
      <c r="F483" s="4" t="s">
        <v>14</v>
      </c>
      <c r="G483" s="5">
        <v>172.0</v>
      </c>
    </row>
    <row r="484" ht="22.5" customHeight="1">
      <c r="A484" s="6">
        <v>45248.0</v>
      </c>
      <c r="B484" s="4" t="str">
        <f t="shared" si="1"/>
        <v>T4</v>
      </c>
      <c r="C484" s="4" t="str">
        <f t="shared" si="2"/>
        <v>Sem 2</v>
      </c>
      <c r="D484" s="4" t="s">
        <v>7</v>
      </c>
      <c r="E484" s="4" t="s">
        <v>15</v>
      </c>
      <c r="F484" s="4" t="s">
        <v>16</v>
      </c>
      <c r="G484" s="5">
        <v>86.0</v>
      </c>
    </row>
    <row r="485" ht="22.5" customHeight="1">
      <c r="A485" s="6">
        <v>45249.0</v>
      </c>
      <c r="B485" s="4" t="str">
        <f t="shared" si="1"/>
        <v>T4</v>
      </c>
      <c r="C485" s="4" t="str">
        <f t="shared" si="2"/>
        <v>Sem 2</v>
      </c>
      <c r="D485" s="4" t="s">
        <v>7</v>
      </c>
      <c r="E485" s="4" t="s">
        <v>13</v>
      </c>
      <c r="F485" s="4" t="s">
        <v>17</v>
      </c>
      <c r="G485" s="5">
        <v>63.0</v>
      </c>
    </row>
    <row r="486" ht="22.5" customHeight="1">
      <c r="A486" s="6">
        <v>45249.0</v>
      </c>
      <c r="B486" s="4" t="str">
        <f t="shared" si="1"/>
        <v>T4</v>
      </c>
      <c r="C486" s="4" t="str">
        <f t="shared" si="2"/>
        <v>Sem 2</v>
      </c>
      <c r="D486" s="4" t="s">
        <v>7</v>
      </c>
      <c r="E486" s="4" t="s">
        <v>13</v>
      </c>
      <c r="F486" s="4" t="s">
        <v>18</v>
      </c>
      <c r="G486" s="5">
        <v>12.0</v>
      </c>
    </row>
    <row r="487" ht="22.5" customHeight="1">
      <c r="A487" s="6">
        <v>45249.0</v>
      </c>
      <c r="B487" s="4" t="str">
        <f t="shared" si="1"/>
        <v>T4</v>
      </c>
      <c r="C487" s="4" t="str">
        <f t="shared" si="2"/>
        <v>Sem 2</v>
      </c>
      <c r="D487" s="4" t="s">
        <v>7</v>
      </c>
      <c r="E487" s="4" t="s">
        <v>13</v>
      </c>
      <c r="F487" s="4" t="s">
        <v>14</v>
      </c>
      <c r="G487" s="5">
        <v>194.0</v>
      </c>
    </row>
    <row r="488" ht="22.5" customHeight="1">
      <c r="A488" s="6">
        <v>45250.0</v>
      </c>
      <c r="B488" s="4" t="str">
        <f t="shared" si="1"/>
        <v>T4</v>
      </c>
      <c r="C488" s="4" t="str">
        <f t="shared" si="2"/>
        <v>Sem 2</v>
      </c>
      <c r="D488" s="4" t="s">
        <v>7</v>
      </c>
      <c r="E488" s="4" t="s">
        <v>8</v>
      </c>
      <c r="F488" s="4" t="s">
        <v>9</v>
      </c>
      <c r="G488" s="5">
        <v>93.0</v>
      </c>
    </row>
    <row r="489" ht="22.5" customHeight="1">
      <c r="A489" s="6">
        <v>45250.0</v>
      </c>
      <c r="B489" s="4" t="str">
        <f t="shared" si="1"/>
        <v>T4</v>
      </c>
      <c r="C489" s="4" t="str">
        <f t="shared" si="2"/>
        <v>Sem 2</v>
      </c>
      <c r="D489" s="4" t="s">
        <v>7</v>
      </c>
      <c r="E489" s="4" t="s">
        <v>8</v>
      </c>
      <c r="F489" s="4" t="s">
        <v>9</v>
      </c>
      <c r="G489" s="5">
        <v>131.0</v>
      </c>
    </row>
    <row r="490" ht="22.5" customHeight="1">
      <c r="A490" s="6">
        <v>45251.0</v>
      </c>
      <c r="B490" s="4" t="str">
        <f t="shared" si="1"/>
        <v>T4</v>
      </c>
      <c r="C490" s="4" t="str">
        <f t="shared" si="2"/>
        <v>Sem 2</v>
      </c>
      <c r="D490" s="4" t="s">
        <v>7</v>
      </c>
      <c r="E490" s="4" t="s">
        <v>10</v>
      </c>
      <c r="F490" s="4" t="s">
        <v>11</v>
      </c>
      <c r="G490" s="5">
        <v>99.0</v>
      </c>
    </row>
    <row r="491" ht="22.5" customHeight="1">
      <c r="A491" s="6">
        <v>45251.0</v>
      </c>
      <c r="B491" s="4" t="str">
        <f t="shared" si="1"/>
        <v>T4</v>
      </c>
      <c r="C491" s="4" t="str">
        <f t="shared" si="2"/>
        <v>Sem 2</v>
      </c>
      <c r="D491" s="4" t="s">
        <v>7</v>
      </c>
      <c r="E491" s="4" t="s">
        <v>10</v>
      </c>
      <c r="F491" s="4" t="s">
        <v>12</v>
      </c>
      <c r="G491" s="5">
        <v>70.0</v>
      </c>
    </row>
    <row r="492" ht="22.5" customHeight="1">
      <c r="A492" s="6">
        <v>45252.0</v>
      </c>
      <c r="B492" s="4" t="str">
        <f t="shared" si="1"/>
        <v>T4</v>
      </c>
      <c r="C492" s="4" t="str">
        <f t="shared" si="2"/>
        <v>Sem 2</v>
      </c>
      <c r="D492" s="4" t="s">
        <v>7</v>
      </c>
      <c r="E492" s="4" t="s">
        <v>13</v>
      </c>
      <c r="F492" s="4" t="s">
        <v>14</v>
      </c>
      <c r="G492" s="5">
        <v>95.0</v>
      </c>
    </row>
    <row r="493" ht="22.5" customHeight="1">
      <c r="A493" s="6">
        <v>45253.0</v>
      </c>
      <c r="B493" s="4" t="str">
        <f t="shared" si="1"/>
        <v>T4</v>
      </c>
      <c r="C493" s="4" t="str">
        <f t="shared" si="2"/>
        <v>Sem 2</v>
      </c>
      <c r="D493" s="4" t="s">
        <v>7</v>
      </c>
      <c r="E493" s="4" t="s">
        <v>15</v>
      </c>
      <c r="F493" s="4" t="s">
        <v>16</v>
      </c>
      <c r="G493" s="5">
        <v>112.0</v>
      </c>
    </row>
    <row r="494" ht="22.5" customHeight="1">
      <c r="A494" s="6">
        <v>45253.0</v>
      </c>
      <c r="B494" s="4" t="str">
        <f t="shared" si="1"/>
        <v>T4</v>
      </c>
      <c r="C494" s="4" t="str">
        <f t="shared" si="2"/>
        <v>Sem 2</v>
      </c>
      <c r="D494" s="4" t="s">
        <v>7</v>
      </c>
      <c r="E494" s="4" t="s">
        <v>13</v>
      </c>
      <c r="F494" s="4" t="s">
        <v>17</v>
      </c>
      <c r="G494" s="5">
        <v>139.0</v>
      </c>
    </row>
    <row r="495" ht="22.5" customHeight="1">
      <c r="A495" s="6">
        <v>45254.0</v>
      </c>
      <c r="B495" s="4" t="str">
        <f t="shared" si="1"/>
        <v>T4</v>
      </c>
      <c r="C495" s="4" t="str">
        <f t="shared" si="2"/>
        <v>Sem 2</v>
      </c>
      <c r="D495" s="4" t="s">
        <v>7</v>
      </c>
      <c r="E495" s="4" t="s">
        <v>13</v>
      </c>
      <c r="F495" s="4" t="s">
        <v>18</v>
      </c>
      <c r="G495" s="5">
        <v>71.0</v>
      </c>
    </row>
    <row r="496" ht="22.5" customHeight="1">
      <c r="A496" s="6">
        <v>45255.0</v>
      </c>
      <c r="B496" s="4" t="str">
        <f t="shared" si="1"/>
        <v>T4</v>
      </c>
      <c r="C496" s="4" t="str">
        <f t="shared" si="2"/>
        <v>Sem 2</v>
      </c>
      <c r="D496" s="4" t="s">
        <v>7</v>
      </c>
      <c r="E496" s="4" t="s">
        <v>13</v>
      </c>
      <c r="F496" s="4" t="s">
        <v>14</v>
      </c>
      <c r="G496" s="5">
        <v>90.0</v>
      </c>
    </row>
    <row r="497" ht="22.5" customHeight="1">
      <c r="A497" s="6">
        <v>45255.0</v>
      </c>
      <c r="B497" s="4" t="str">
        <f t="shared" si="1"/>
        <v>T4</v>
      </c>
      <c r="C497" s="4" t="str">
        <f t="shared" si="2"/>
        <v>Sem 2</v>
      </c>
      <c r="D497" s="4" t="s">
        <v>21</v>
      </c>
      <c r="E497" s="4" t="s">
        <v>22</v>
      </c>
      <c r="F497" s="4" t="s">
        <v>23</v>
      </c>
      <c r="G497" s="5">
        <v>3000.0</v>
      </c>
    </row>
    <row r="498" ht="22.5" customHeight="1">
      <c r="A498" s="6">
        <v>45256.0</v>
      </c>
      <c r="B498" s="4" t="str">
        <f t="shared" si="1"/>
        <v>T4</v>
      </c>
      <c r="C498" s="4" t="str">
        <f t="shared" si="2"/>
        <v>Sem 2</v>
      </c>
      <c r="D498" s="4" t="s">
        <v>21</v>
      </c>
      <c r="E498" s="4" t="s">
        <v>24</v>
      </c>
      <c r="F498" s="4" t="s">
        <v>25</v>
      </c>
      <c r="G498" s="5">
        <v>1500.0</v>
      </c>
    </row>
    <row r="499" ht="22.5" customHeight="1">
      <c r="A499" s="6">
        <v>45256.0</v>
      </c>
      <c r="B499" s="4" t="str">
        <f t="shared" si="1"/>
        <v>T4</v>
      </c>
      <c r="C499" s="4" t="str">
        <f t="shared" si="2"/>
        <v>Sem 2</v>
      </c>
      <c r="D499" s="4" t="s">
        <v>7</v>
      </c>
      <c r="E499" s="4" t="s">
        <v>8</v>
      </c>
      <c r="F499" s="4" t="s">
        <v>26</v>
      </c>
      <c r="G499" s="5">
        <v>81.0</v>
      </c>
    </row>
    <row r="500" ht="22.5" customHeight="1">
      <c r="A500" s="6">
        <v>45257.0</v>
      </c>
      <c r="B500" s="4" t="str">
        <f t="shared" si="1"/>
        <v>T4</v>
      </c>
      <c r="C500" s="4" t="str">
        <f t="shared" si="2"/>
        <v>Sem 2</v>
      </c>
      <c r="D500" s="4" t="s">
        <v>7</v>
      </c>
      <c r="E500" s="4" t="s">
        <v>8</v>
      </c>
      <c r="F500" s="4" t="s">
        <v>27</v>
      </c>
      <c r="G500" s="5">
        <v>200.0</v>
      </c>
    </row>
    <row r="501" ht="22.5" customHeight="1">
      <c r="A501" s="6">
        <v>45257.0</v>
      </c>
      <c r="B501" s="4" t="str">
        <f t="shared" si="1"/>
        <v>T4</v>
      </c>
      <c r="C501" s="4" t="str">
        <f t="shared" si="2"/>
        <v>Sem 2</v>
      </c>
      <c r="D501" s="4" t="s">
        <v>7</v>
      </c>
      <c r="E501" s="4" t="s">
        <v>8</v>
      </c>
      <c r="F501" s="4" t="s">
        <v>9</v>
      </c>
      <c r="G501" s="5">
        <v>128.0</v>
      </c>
    </row>
    <row r="502" ht="22.5" customHeight="1">
      <c r="A502" s="6">
        <v>45257.0</v>
      </c>
      <c r="B502" s="4" t="str">
        <f t="shared" si="1"/>
        <v>T4</v>
      </c>
      <c r="C502" s="4" t="str">
        <f t="shared" si="2"/>
        <v>Sem 2</v>
      </c>
      <c r="D502" s="4" t="s">
        <v>7</v>
      </c>
      <c r="E502" s="4" t="s">
        <v>8</v>
      </c>
      <c r="F502" s="4" t="s">
        <v>28</v>
      </c>
      <c r="G502" s="5">
        <v>80.0</v>
      </c>
    </row>
    <row r="503" ht="22.5" customHeight="1">
      <c r="A503" s="6">
        <v>45258.0</v>
      </c>
      <c r="B503" s="4" t="str">
        <f t="shared" si="1"/>
        <v>T4</v>
      </c>
      <c r="C503" s="4" t="str">
        <f t="shared" si="2"/>
        <v>Sem 2</v>
      </c>
      <c r="D503" s="4" t="s">
        <v>7</v>
      </c>
      <c r="E503" s="4" t="s">
        <v>8</v>
      </c>
      <c r="F503" s="4" t="s">
        <v>28</v>
      </c>
      <c r="G503" s="5">
        <v>80.0</v>
      </c>
    </row>
    <row r="504" ht="22.5" customHeight="1">
      <c r="A504" s="6">
        <v>45259.0</v>
      </c>
      <c r="B504" s="4" t="str">
        <f t="shared" si="1"/>
        <v>T4</v>
      </c>
      <c r="C504" s="4" t="str">
        <f t="shared" si="2"/>
        <v>Sem 2</v>
      </c>
      <c r="D504" s="4" t="s">
        <v>7</v>
      </c>
      <c r="E504" s="4" t="s">
        <v>8</v>
      </c>
      <c r="F504" s="4" t="s">
        <v>29</v>
      </c>
      <c r="G504" s="5">
        <v>124.0</v>
      </c>
    </row>
    <row r="505" ht="22.5" customHeight="1">
      <c r="A505" s="6">
        <v>45259.0</v>
      </c>
      <c r="B505" s="4" t="str">
        <f t="shared" si="1"/>
        <v>T4</v>
      </c>
      <c r="C505" s="4" t="str">
        <f t="shared" si="2"/>
        <v>Sem 2</v>
      </c>
      <c r="D505" s="4" t="s">
        <v>7</v>
      </c>
      <c r="E505" s="4" t="s">
        <v>8</v>
      </c>
      <c r="F505" s="4" t="s">
        <v>30</v>
      </c>
      <c r="G505" s="5">
        <v>118.0</v>
      </c>
    </row>
    <row r="506" ht="22.5" customHeight="1">
      <c r="A506" s="6">
        <v>45259.0</v>
      </c>
      <c r="B506" s="4" t="str">
        <f t="shared" si="1"/>
        <v>T4</v>
      </c>
      <c r="C506" s="4" t="str">
        <f t="shared" si="2"/>
        <v>Sem 2</v>
      </c>
      <c r="D506" s="4" t="s">
        <v>7</v>
      </c>
      <c r="E506" s="4" t="s">
        <v>13</v>
      </c>
      <c r="F506" s="4" t="s">
        <v>31</v>
      </c>
      <c r="G506" s="5">
        <v>60.0</v>
      </c>
    </row>
    <row r="507" ht="22.5" customHeight="1">
      <c r="A507" s="6">
        <v>45260.0</v>
      </c>
      <c r="B507" s="4" t="str">
        <f t="shared" si="1"/>
        <v>T4</v>
      </c>
      <c r="C507" s="4" t="str">
        <f t="shared" si="2"/>
        <v>Sem 2</v>
      </c>
      <c r="D507" s="4" t="s">
        <v>7</v>
      </c>
      <c r="E507" s="4" t="s">
        <v>15</v>
      </c>
      <c r="F507" s="4" t="s">
        <v>32</v>
      </c>
      <c r="G507" s="5">
        <v>50.0</v>
      </c>
    </row>
    <row r="508" ht="22.5" customHeight="1">
      <c r="A508" s="3">
        <v>45261.0</v>
      </c>
      <c r="B508" s="4" t="str">
        <f t="shared" si="1"/>
        <v>T4</v>
      </c>
      <c r="C508" s="4" t="str">
        <f t="shared" si="2"/>
        <v>Sem 2</v>
      </c>
      <c r="D508" s="4" t="s">
        <v>7</v>
      </c>
      <c r="E508" s="4" t="s">
        <v>10</v>
      </c>
      <c r="F508" s="4" t="s">
        <v>11</v>
      </c>
      <c r="G508" s="5">
        <v>170.0</v>
      </c>
    </row>
    <row r="509" ht="22.5" customHeight="1">
      <c r="A509" s="3">
        <v>45261.0</v>
      </c>
      <c r="B509" s="4" t="str">
        <f t="shared" si="1"/>
        <v>T4</v>
      </c>
      <c r="C509" s="4" t="str">
        <f t="shared" si="2"/>
        <v>Sem 2</v>
      </c>
      <c r="D509" s="4" t="s">
        <v>7</v>
      </c>
      <c r="E509" s="4" t="s">
        <v>10</v>
      </c>
      <c r="F509" s="4" t="s">
        <v>12</v>
      </c>
      <c r="G509" s="5">
        <v>79.0</v>
      </c>
    </row>
    <row r="510" ht="22.5" customHeight="1">
      <c r="A510" s="3">
        <v>45261.0</v>
      </c>
      <c r="B510" s="4" t="str">
        <f t="shared" si="1"/>
        <v>T4</v>
      </c>
      <c r="C510" s="4" t="str">
        <f t="shared" si="2"/>
        <v>Sem 2</v>
      </c>
      <c r="D510" s="4" t="s">
        <v>7</v>
      </c>
      <c r="E510" s="4" t="s">
        <v>13</v>
      </c>
      <c r="F510" s="4" t="s">
        <v>14</v>
      </c>
      <c r="G510" s="5">
        <v>17.0</v>
      </c>
    </row>
    <row r="511" ht="22.5" customHeight="1">
      <c r="A511" s="3">
        <v>45262.0</v>
      </c>
      <c r="B511" s="4" t="str">
        <f t="shared" si="1"/>
        <v>T4</v>
      </c>
      <c r="C511" s="4" t="str">
        <f t="shared" si="2"/>
        <v>Sem 2</v>
      </c>
      <c r="D511" s="4" t="s">
        <v>7</v>
      </c>
      <c r="E511" s="4" t="s">
        <v>15</v>
      </c>
      <c r="F511" s="4" t="s">
        <v>16</v>
      </c>
      <c r="G511" s="5">
        <v>161.0</v>
      </c>
    </row>
    <row r="512" ht="22.5" customHeight="1">
      <c r="A512" s="3">
        <v>45263.0</v>
      </c>
      <c r="B512" s="4" t="str">
        <f t="shared" si="1"/>
        <v>T4</v>
      </c>
      <c r="C512" s="4" t="str">
        <f t="shared" si="2"/>
        <v>Sem 2</v>
      </c>
      <c r="D512" s="4" t="s">
        <v>7</v>
      </c>
      <c r="E512" s="4" t="s">
        <v>13</v>
      </c>
      <c r="F512" s="4" t="s">
        <v>17</v>
      </c>
      <c r="G512" s="5">
        <v>56.0</v>
      </c>
    </row>
    <row r="513" ht="22.5" customHeight="1">
      <c r="A513" s="3">
        <v>45263.0</v>
      </c>
      <c r="B513" s="4" t="str">
        <f t="shared" si="1"/>
        <v>T4</v>
      </c>
      <c r="C513" s="4" t="str">
        <f t="shared" si="2"/>
        <v>Sem 2</v>
      </c>
      <c r="D513" s="4" t="s">
        <v>7</v>
      </c>
      <c r="E513" s="4" t="s">
        <v>13</v>
      </c>
      <c r="F513" s="4" t="s">
        <v>18</v>
      </c>
      <c r="G513" s="5">
        <v>14.0</v>
      </c>
    </row>
    <row r="514" ht="22.5" customHeight="1">
      <c r="A514" s="3">
        <v>45263.0</v>
      </c>
      <c r="B514" s="4" t="str">
        <f t="shared" si="1"/>
        <v>T4</v>
      </c>
      <c r="C514" s="4" t="str">
        <f t="shared" si="2"/>
        <v>Sem 2</v>
      </c>
      <c r="D514" s="4" t="s">
        <v>7</v>
      </c>
      <c r="E514" s="4" t="s">
        <v>13</v>
      </c>
      <c r="F514" s="4" t="s">
        <v>14</v>
      </c>
      <c r="G514" s="5">
        <v>102.0</v>
      </c>
    </row>
    <row r="515" ht="22.5" customHeight="1">
      <c r="A515" s="3">
        <v>45263.0</v>
      </c>
      <c r="B515" s="4" t="str">
        <f t="shared" si="1"/>
        <v>T4</v>
      </c>
      <c r="C515" s="4" t="str">
        <f t="shared" si="2"/>
        <v>Sem 2</v>
      </c>
      <c r="D515" s="4" t="s">
        <v>7</v>
      </c>
      <c r="E515" s="4" t="s">
        <v>8</v>
      </c>
      <c r="F515" s="4" t="s">
        <v>9</v>
      </c>
      <c r="G515" s="5">
        <v>139.0</v>
      </c>
    </row>
    <row r="516" ht="22.5" customHeight="1">
      <c r="A516" s="3">
        <v>45264.0</v>
      </c>
      <c r="B516" s="4" t="str">
        <f t="shared" si="1"/>
        <v>T4</v>
      </c>
      <c r="C516" s="4" t="str">
        <f t="shared" si="2"/>
        <v>Sem 2</v>
      </c>
      <c r="D516" s="4" t="s">
        <v>7</v>
      </c>
      <c r="E516" s="4" t="s">
        <v>8</v>
      </c>
      <c r="F516" s="4" t="s">
        <v>9</v>
      </c>
      <c r="G516" s="5">
        <v>47.0</v>
      </c>
    </row>
    <row r="517" ht="22.5" customHeight="1">
      <c r="A517" s="3">
        <v>45264.0</v>
      </c>
      <c r="B517" s="4" t="str">
        <f t="shared" si="1"/>
        <v>T4</v>
      </c>
      <c r="C517" s="4" t="str">
        <f t="shared" si="2"/>
        <v>Sem 2</v>
      </c>
      <c r="D517" s="4" t="s">
        <v>7</v>
      </c>
      <c r="E517" s="4" t="s">
        <v>10</v>
      </c>
      <c r="F517" s="4" t="s">
        <v>11</v>
      </c>
      <c r="G517" s="5">
        <v>41.0</v>
      </c>
    </row>
    <row r="518" ht="22.5" customHeight="1">
      <c r="A518" s="3">
        <v>45265.0</v>
      </c>
      <c r="B518" s="4" t="str">
        <f t="shared" si="1"/>
        <v>T4</v>
      </c>
      <c r="C518" s="4" t="str">
        <f t="shared" si="2"/>
        <v>Sem 2</v>
      </c>
      <c r="D518" s="4" t="s">
        <v>7</v>
      </c>
      <c r="E518" s="4" t="s">
        <v>10</v>
      </c>
      <c r="F518" s="4" t="s">
        <v>12</v>
      </c>
      <c r="G518" s="5">
        <v>54.0</v>
      </c>
    </row>
    <row r="519" ht="22.5" customHeight="1">
      <c r="A519" s="3">
        <v>45265.0</v>
      </c>
      <c r="B519" s="4" t="str">
        <f t="shared" si="1"/>
        <v>T4</v>
      </c>
      <c r="C519" s="4" t="str">
        <f t="shared" si="2"/>
        <v>Sem 2</v>
      </c>
      <c r="D519" s="4" t="s">
        <v>7</v>
      </c>
      <c r="E519" s="4" t="s">
        <v>13</v>
      </c>
      <c r="F519" s="4" t="s">
        <v>14</v>
      </c>
      <c r="G519" s="5">
        <v>142.0</v>
      </c>
    </row>
    <row r="520" ht="22.5" customHeight="1">
      <c r="A520" s="3">
        <v>45265.0</v>
      </c>
      <c r="B520" s="4" t="str">
        <f t="shared" si="1"/>
        <v>T4</v>
      </c>
      <c r="C520" s="4" t="str">
        <f t="shared" si="2"/>
        <v>Sem 2</v>
      </c>
      <c r="D520" s="4" t="s">
        <v>7</v>
      </c>
      <c r="E520" s="4" t="s">
        <v>15</v>
      </c>
      <c r="F520" s="4" t="s">
        <v>16</v>
      </c>
      <c r="G520" s="5">
        <v>174.0</v>
      </c>
    </row>
    <row r="521" ht="22.5" customHeight="1">
      <c r="A521" s="3">
        <v>45267.0</v>
      </c>
      <c r="B521" s="4" t="str">
        <f t="shared" si="1"/>
        <v>T4</v>
      </c>
      <c r="C521" s="4" t="str">
        <f t="shared" si="2"/>
        <v>Sem 2</v>
      </c>
      <c r="D521" s="4" t="s">
        <v>7</v>
      </c>
      <c r="E521" s="4" t="s">
        <v>13</v>
      </c>
      <c r="F521" s="4" t="s">
        <v>17</v>
      </c>
      <c r="G521" s="5">
        <v>140.0</v>
      </c>
    </row>
    <row r="522" ht="22.5" customHeight="1">
      <c r="A522" s="3">
        <v>45269.0</v>
      </c>
      <c r="B522" s="4" t="str">
        <f t="shared" si="1"/>
        <v>T4</v>
      </c>
      <c r="C522" s="4" t="str">
        <f t="shared" si="2"/>
        <v>Sem 2</v>
      </c>
      <c r="D522" s="4" t="s">
        <v>7</v>
      </c>
      <c r="E522" s="4" t="s">
        <v>13</v>
      </c>
      <c r="F522" s="4" t="s">
        <v>18</v>
      </c>
      <c r="G522" s="5">
        <v>19.0</v>
      </c>
    </row>
    <row r="523" ht="22.5" customHeight="1">
      <c r="A523" s="3">
        <v>45269.0</v>
      </c>
      <c r="B523" s="4" t="str">
        <f t="shared" si="1"/>
        <v>T4</v>
      </c>
      <c r="C523" s="4" t="str">
        <f t="shared" si="2"/>
        <v>Sem 2</v>
      </c>
      <c r="D523" s="4" t="s">
        <v>7</v>
      </c>
      <c r="E523" s="4" t="s">
        <v>13</v>
      </c>
      <c r="F523" s="4" t="s">
        <v>14</v>
      </c>
      <c r="G523" s="5">
        <v>27.0</v>
      </c>
    </row>
    <row r="524" ht="22.5" customHeight="1">
      <c r="A524" s="3">
        <v>45269.0</v>
      </c>
      <c r="B524" s="4" t="str">
        <f t="shared" si="1"/>
        <v>T4</v>
      </c>
      <c r="C524" s="4" t="str">
        <f t="shared" si="2"/>
        <v>Sem 2</v>
      </c>
      <c r="D524" s="4" t="s">
        <v>7</v>
      </c>
      <c r="E524" s="4" t="s">
        <v>8</v>
      </c>
      <c r="F524" s="4" t="s">
        <v>9</v>
      </c>
      <c r="G524" s="5">
        <v>164.0</v>
      </c>
    </row>
    <row r="525" ht="22.5" customHeight="1">
      <c r="A525" s="6">
        <v>45270.0</v>
      </c>
      <c r="B525" s="4" t="str">
        <f t="shared" si="1"/>
        <v>T4</v>
      </c>
      <c r="C525" s="4" t="str">
        <f t="shared" si="2"/>
        <v>Sem 2</v>
      </c>
      <c r="D525" s="4" t="s">
        <v>7</v>
      </c>
      <c r="E525" s="4" t="s">
        <v>8</v>
      </c>
      <c r="F525" s="4" t="s">
        <v>9</v>
      </c>
      <c r="G525" s="5">
        <v>65.0</v>
      </c>
    </row>
    <row r="526" ht="22.5" customHeight="1">
      <c r="A526" s="6">
        <v>45271.0</v>
      </c>
      <c r="B526" s="4" t="str">
        <f t="shared" si="1"/>
        <v>T4</v>
      </c>
      <c r="C526" s="4" t="str">
        <f t="shared" si="2"/>
        <v>Sem 2</v>
      </c>
      <c r="D526" s="4" t="s">
        <v>7</v>
      </c>
      <c r="E526" s="4" t="s">
        <v>10</v>
      </c>
      <c r="F526" s="4" t="s">
        <v>11</v>
      </c>
      <c r="G526" s="5">
        <v>188.0</v>
      </c>
    </row>
    <row r="527" ht="22.5" customHeight="1">
      <c r="A527" s="6">
        <v>45271.0</v>
      </c>
      <c r="B527" s="4" t="str">
        <f t="shared" si="1"/>
        <v>T4</v>
      </c>
      <c r="C527" s="4" t="str">
        <f t="shared" si="2"/>
        <v>Sem 2</v>
      </c>
      <c r="D527" s="4" t="s">
        <v>7</v>
      </c>
      <c r="E527" s="4" t="s">
        <v>10</v>
      </c>
      <c r="F527" s="4" t="s">
        <v>12</v>
      </c>
      <c r="G527" s="5">
        <v>148.0</v>
      </c>
    </row>
    <row r="528" ht="22.5" customHeight="1">
      <c r="A528" s="6">
        <v>45273.0</v>
      </c>
      <c r="B528" s="4" t="str">
        <f t="shared" si="1"/>
        <v>T4</v>
      </c>
      <c r="C528" s="4" t="str">
        <f t="shared" si="2"/>
        <v>Sem 2</v>
      </c>
      <c r="D528" s="4" t="s">
        <v>7</v>
      </c>
      <c r="E528" s="4" t="s">
        <v>13</v>
      </c>
      <c r="F528" s="4" t="s">
        <v>14</v>
      </c>
      <c r="G528" s="5">
        <v>158.0</v>
      </c>
    </row>
    <row r="529" ht="22.5" customHeight="1">
      <c r="A529" s="6">
        <v>45273.0</v>
      </c>
      <c r="B529" s="4" t="str">
        <f t="shared" si="1"/>
        <v>T4</v>
      </c>
      <c r="C529" s="4" t="str">
        <f t="shared" si="2"/>
        <v>Sem 2</v>
      </c>
      <c r="D529" s="4" t="s">
        <v>7</v>
      </c>
      <c r="E529" s="4" t="s">
        <v>15</v>
      </c>
      <c r="F529" s="4" t="s">
        <v>16</v>
      </c>
      <c r="G529" s="5">
        <v>43.0</v>
      </c>
    </row>
    <row r="530" ht="22.5" customHeight="1">
      <c r="A530" s="6">
        <v>45273.0</v>
      </c>
      <c r="B530" s="4" t="str">
        <f t="shared" si="1"/>
        <v>T4</v>
      </c>
      <c r="C530" s="4" t="str">
        <f t="shared" si="2"/>
        <v>Sem 2</v>
      </c>
      <c r="D530" s="4" t="s">
        <v>7</v>
      </c>
      <c r="E530" s="4" t="s">
        <v>13</v>
      </c>
      <c r="F530" s="4" t="s">
        <v>17</v>
      </c>
      <c r="G530" s="5">
        <v>127.0</v>
      </c>
    </row>
    <row r="531" ht="22.5" customHeight="1">
      <c r="A531" s="6">
        <v>45274.0</v>
      </c>
      <c r="B531" s="4" t="str">
        <f t="shared" si="1"/>
        <v>T4</v>
      </c>
      <c r="C531" s="4" t="str">
        <f t="shared" si="2"/>
        <v>Sem 2</v>
      </c>
      <c r="D531" s="4" t="s">
        <v>7</v>
      </c>
      <c r="E531" s="4" t="s">
        <v>13</v>
      </c>
      <c r="F531" s="4" t="s">
        <v>18</v>
      </c>
      <c r="G531" s="5">
        <v>81.0</v>
      </c>
    </row>
    <row r="532" ht="22.5" customHeight="1">
      <c r="A532" s="6">
        <v>45274.0</v>
      </c>
      <c r="B532" s="4" t="str">
        <f t="shared" si="1"/>
        <v>T4</v>
      </c>
      <c r="C532" s="4" t="str">
        <f t="shared" si="2"/>
        <v>Sem 2</v>
      </c>
      <c r="D532" s="4" t="s">
        <v>7</v>
      </c>
      <c r="E532" s="4" t="s">
        <v>13</v>
      </c>
      <c r="F532" s="4" t="s">
        <v>14</v>
      </c>
      <c r="G532" s="5">
        <v>67.0</v>
      </c>
    </row>
    <row r="533" ht="22.5" customHeight="1">
      <c r="A533" s="6">
        <v>45276.0</v>
      </c>
      <c r="B533" s="4" t="str">
        <f t="shared" si="1"/>
        <v>T4</v>
      </c>
      <c r="C533" s="4" t="str">
        <f t="shared" si="2"/>
        <v>Sem 2</v>
      </c>
      <c r="D533" s="4" t="s">
        <v>7</v>
      </c>
      <c r="E533" s="4" t="s">
        <v>8</v>
      </c>
      <c r="F533" s="4" t="s">
        <v>9</v>
      </c>
      <c r="G533" s="5">
        <v>593.0</v>
      </c>
    </row>
    <row r="534" ht="22.5" customHeight="1">
      <c r="A534" s="6">
        <v>45276.0</v>
      </c>
      <c r="B534" s="4" t="str">
        <f t="shared" si="1"/>
        <v>T4</v>
      </c>
      <c r="C534" s="4" t="str">
        <f t="shared" si="2"/>
        <v>Sem 2</v>
      </c>
      <c r="D534" s="4" t="s">
        <v>7</v>
      </c>
      <c r="E534" s="4" t="s">
        <v>8</v>
      </c>
      <c r="F534" s="4" t="s">
        <v>9</v>
      </c>
      <c r="G534" s="5">
        <v>525.0</v>
      </c>
    </row>
    <row r="535" ht="22.5" customHeight="1">
      <c r="A535" s="6">
        <v>45276.0</v>
      </c>
      <c r="B535" s="4" t="str">
        <f t="shared" si="1"/>
        <v>T4</v>
      </c>
      <c r="C535" s="4" t="str">
        <f t="shared" si="2"/>
        <v>Sem 2</v>
      </c>
      <c r="D535" s="4" t="s">
        <v>7</v>
      </c>
      <c r="E535" s="4" t="s">
        <v>10</v>
      </c>
      <c r="F535" s="4" t="s">
        <v>11</v>
      </c>
      <c r="G535" s="5">
        <v>66.0</v>
      </c>
    </row>
    <row r="536" ht="22.5" customHeight="1">
      <c r="A536" s="6">
        <v>45276.0</v>
      </c>
      <c r="B536" s="4" t="str">
        <f t="shared" si="1"/>
        <v>T4</v>
      </c>
      <c r="C536" s="4" t="str">
        <f t="shared" si="2"/>
        <v>Sem 2</v>
      </c>
      <c r="D536" s="4" t="s">
        <v>7</v>
      </c>
      <c r="E536" s="4" t="s">
        <v>10</v>
      </c>
      <c r="F536" s="4" t="s">
        <v>12</v>
      </c>
      <c r="G536" s="5">
        <v>164.0</v>
      </c>
    </row>
    <row r="537" ht="22.5" customHeight="1">
      <c r="A537" s="6">
        <v>45276.0</v>
      </c>
      <c r="B537" s="4" t="str">
        <f t="shared" si="1"/>
        <v>T4</v>
      </c>
      <c r="C537" s="4" t="str">
        <f t="shared" si="2"/>
        <v>Sem 2</v>
      </c>
      <c r="D537" s="4" t="s">
        <v>7</v>
      </c>
      <c r="E537" s="4" t="s">
        <v>13</v>
      </c>
      <c r="F537" s="4" t="s">
        <v>14</v>
      </c>
      <c r="G537" s="5">
        <v>26.0</v>
      </c>
    </row>
    <row r="538" ht="22.5" customHeight="1">
      <c r="A538" s="6">
        <v>45276.0</v>
      </c>
      <c r="B538" s="4" t="str">
        <f t="shared" si="1"/>
        <v>T4</v>
      </c>
      <c r="C538" s="4" t="str">
        <f t="shared" si="2"/>
        <v>Sem 2</v>
      </c>
      <c r="D538" s="4" t="s">
        <v>7</v>
      </c>
      <c r="E538" s="4" t="s">
        <v>19</v>
      </c>
      <c r="F538" s="4" t="s">
        <v>20</v>
      </c>
      <c r="G538" s="5">
        <v>195.0</v>
      </c>
    </row>
    <row r="539" ht="22.5" customHeight="1">
      <c r="A539" s="6">
        <v>45276.0</v>
      </c>
      <c r="B539" s="4" t="str">
        <f t="shared" si="1"/>
        <v>T4</v>
      </c>
      <c r="C539" s="4" t="str">
        <f t="shared" si="2"/>
        <v>Sem 2</v>
      </c>
      <c r="D539" s="4" t="s">
        <v>7</v>
      </c>
      <c r="E539" s="4" t="s">
        <v>13</v>
      </c>
      <c r="F539" s="4" t="s">
        <v>17</v>
      </c>
      <c r="G539" s="5">
        <v>41.0</v>
      </c>
    </row>
    <row r="540" ht="22.5" customHeight="1">
      <c r="A540" s="6">
        <v>45277.0</v>
      </c>
      <c r="B540" s="4" t="str">
        <f t="shared" si="1"/>
        <v>T4</v>
      </c>
      <c r="C540" s="4" t="str">
        <f t="shared" si="2"/>
        <v>Sem 2</v>
      </c>
      <c r="D540" s="4" t="s">
        <v>7</v>
      </c>
      <c r="E540" s="4" t="s">
        <v>13</v>
      </c>
      <c r="F540" s="4" t="s">
        <v>18</v>
      </c>
      <c r="G540" s="5">
        <v>17.0</v>
      </c>
    </row>
    <row r="541" ht="22.5" customHeight="1">
      <c r="A541" s="6">
        <v>45278.0</v>
      </c>
      <c r="B541" s="4" t="str">
        <f t="shared" si="1"/>
        <v>T4</v>
      </c>
      <c r="C541" s="4" t="str">
        <f t="shared" si="2"/>
        <v>Sem 2</v>
      </c>
      <c r="D541" s="4" t="s">
        <v>7</v>
      </c>
      <c r="E541" s="4" t="s">
        <v>13</v>
      </c>
      <c r="F541" s="4" t="s">
        <v>14</v>
      </c>
      <c r="G541" s="5">
        <v>99.0</v>
      </c>
    </row>
    <row r="542" ht="22.5" customHeight="1">
      <c r="A542" s="6">
        <v>45279.0</v>
      </c>
      <c r="B542" s="4" t="str">
        <f t="shared" si="1"/>
        <v>T4</v>
      </c>
      <c r="C542" s="4" t="str">
        <f t="shared" si="2"/>
        <v>Sem 2</v>
      </c>
      <c r="D542" s="4" t="s">
        <v>7</v>
      </c>
      <c r="E542" s="4" t="s">
        <v>8</v>
      </c>
      <c r="F542" s="4" t="s">
        <v>9</v>
      </c>
      <c r="G542" s="5">
        <v>128.0</v>
      </c>
    </row>
    <row r="543" ht="22.5" customHeight="1">
      <c r="A543" s="6">
        <v>45279.0</v>
      </c>
      <c r="B543" s="4" t="str">
        <f t="shared" si="1"/>
        <v>T4</v>
      </c>
      <c r="C543" s="4" t="str">
        <f t="shared" si="2"/>
        <v>Sem 2</v>
      </c>
      <c r="D543" s="4" t="s">
        <v>7</v>
      </c>
      <c r="E543" s="4" t="s">
        <v>8</v>
      </c>
      <c r="F543" s="4" t="s">
        <v>9</v>
      </c>
      <c r="G543" s="5">
        <v>122.0</v>
      </c>
    </row>
    <row r="544" ht="22.5" customHeight="1">
      <c r="A544" s="6">
        <v>45280.0</v>
      </c>
      <c r="B544" s="4" t="str">
        <f t="shared" si="1"/>
        <v>T4</v>
      </c>
      <c r="C544" s="4" t="str">
        <f t="shared" si="2"/>
        <v>Sem 2</v>
      </c>
      <c r="D544" s="4" t="s">
        <v>7</v>
      </c>
      <c r="E544" s="4" t="s">
        <v>10</v>
      </c>
      <c r="F544" s="4" t="s">
        <v>11</v>
      </c>
      <c r="G544" s="5">
        <v>33.0</v>
      </c>
    </row>
    <row r="545" ht="22.5" customHeight="1">
      <c r="A545" s="6">
        <v>45280.0</v>
      </c>
      <c r="B545" s="4" t="str">
        <f t="shared" si="1"/>
        <v>T4</v>
      </c>
      <c r="C545" s="4" t="str">
        <f t="shared" si="2"/>
        <v>Sem 2</v>
      </c>
      <c r="D545" s="4" t="s">
        <v>7</v>
      </c>
      <c r="E545" s="4" t="s">
        <v>10</v>
      </c>
      <c r="F545" s="4" t="s">
        <v>12</v>
      </c>
      <c r="G545" s="5">
        <v>115.0</v>
      </c>
    </row>
    <row r="546" ht="22.5" customHeight="1">
      <c r="A546" s="6">
        <v>45280.0</v>
      </c>
      <c r="B546" s="4" t="str">
        <f t="shared" si="1"/>
        <v>T4</v>
      </c>
      <c r="C546" s="4" t="str">
        <f t="shared" si="2"/>
        <v>Sem 2</v>
      </c>
      <c r="D546" s="4" t="s">
        <v>7</v>
      </c>
      <c r="E546" s="4" t="s">
        <v>13</v>
      </c>
      <c r="F546" s="4" t="s">
        <v>14</v>
      </c>
      <c r="G546" s="5">
        <v>117.0</v>
      </c>
    </row>
    <row r="547" ht="22.5" customHeight="1">
      <c r="A547" s="6">
        <v>45281.0</v>
      </c>
      <c r="B547" s="4" t="str">
        <f t="shared" si="1"/>
        <v>T4</v>
      </c>
      <c r="C547" s="4" t="str">
        <f t="shared" si="2"/>
        <v>Sem 2</v>
      </c>
      <c r="D547" s="4" t="s">
        <v>7</v>
      </c>
      <c r="E547" s="4" t="s">
        <v>15</v>
      </c>
      <c r="F547" s="4" t="s">
        <v>16</v>
      </c>
      <c r="G547" s="5">
        <v>98.0</v>
      </c>
    </row>
    <row r="548" ht="22.5" customHeight="1">
      <c r="A548" s="6">
        <v>45281.0</v>
      </c>
      <c r="B548" s="4" t="str">
        <f t="shared" si="1"/>
        <v>T4</v>
      </c>
      <c r="C548" s="4" t="str">
        <f t="shared" si="2"/>
        <v>Sem 2</v>
      </c>
      <c r="D548" s="4" t="s">
        <v>7</v>
      </c>
      <c r="E548" s="4" t="s">
        <v>13</v>
      </c>
      <c r="F548" s="4" t="s">
        <v>17</v>
      </c>
      <c r="G548" s="5">
        <v>125.0</v>
      </c>
    </row>
    <row r="549" ht="22.5" customHeight="1">
      <c r="A549" s="6">
        <v>45282.0</v>
      </c>
      <c r="B549" s="4" t="str">
        <f t="shared" si="1"/>
        <v>T4</v>
      </c>
      <c r="C549" s="4" t="str">
        <f t="shared" si="2"/>
        <v>Sem 2</v>
      </c>
      <c r="D549" s="4" t="s">
        <v>7</v>
      </c>
      <c r="E549" s="4" t="s">
        <v>13</v>
      </c>
      <c r="F549" s="4" t="s">
        <v>18</v>
      </c>
      <c r="G549" s="5">
        <v>37.0</v>
      </c>
    </row>
    <row r="550" ht="22.5" customHeight="1">
      <c r="A550" s="6">
        <v>45283.0</v>
      </c>
      <c r="B550" s="4" t="str">
        <f t="shared" si="1"/>
        <v>T4</v>
      </c>
      <c r="C550" s="4" t="str">
        <f t="shared" si="2"/>
        <v>Sem 2</v>
      </c>
      <c r="D550" s="4" t="s">
        <v>7</v>
      </c>
      <c r="E550" s="4" t="s">
        <v>13</v>
      </c>
      <c r="F550" s="4" t="s">
        <v>14</v>
      </c>
      <c r="G550" s="5">
        <v>200.0</v>
      </c>
    </row>
    <row r="551" ht="22.5" customHeight="1">
      <c r="A551" s="6">
        <v>45283.0</v>
      </c>
      <c r="B551" s="4" t="str">
        <f t="shared" si="1"/>
        <v>T4</v>
      </c>
      <c r="C551" s="4" t="str">
        <f t="shared" si="2"/>
        <v>Sem 2</v>
      </c>
      <c r="D551" s="4" t="s">
        <v>7</v>
      </c>
      <c r="E551" s="4" t="s">
        <v>8</v>
      </c>
      <c r="F551" s="4" t="s">
        <v>9</v>
      </c>
      <c r="G551" s="5">
        <v>69.0</v>
      </c>
    </row>
    <row r="552" ht="22.5" customHeight="1">
      <c r="A552" s="6">
        <v>45284.0</v>
      </c>
      <c r="B552" s="4" t="str">
        <f t="shared" si="1"/>
        <v>T4</v>
      </c>
      <c r="C552" s="4" t="str">
        <f t="shared" si="2"/>
        <v>Sem 2</v>
      </c>
      <c r="D552" s="4" t="s">
        <v>7</v>
      </c>
      <c r="E552" s="4" t="s">
        <v>8</v>
      </c>
      <c r="F552" s="4" t="s">
        <v>9</v>
      </c>
      <c r="G552" s="5">
        <v>76.0</v>
      </c>
    </row>
    <row r="553" ht="22.5" customHeight="1">
      <c r="A553" s="6">
        <v>45285.0</v>
      </c>
      <c r="B553" s="4" t="str">
        <f t="shared" si="1"/>
        <v>T4</v>
      </c>
      <c r="C553" s="4" t="str">
        <f t="shared" si="2"/>
        <v>Sem 2</v>
      </c>
      <c r="D553" s="4" t="s">
        <v>21</v>
      </c>
      <c r="E553" s="4" t="s">
        <v>22</v>
      </c>
      <c r="F553" s="4" t="s">
        <v>23</v>
      </c>
      <c r="G553" s="5">
        <v>3000.0</v>
      </c>
    </row>
    <row r="554" ht="22.5" customHeight="1">
      <c r="A554" s="6">
        <v>45285.0</v>
      </c>
      <c r="B554" s="4" t="str">
        <f t="shared" si="1"/>
        <v>T4</v>
      </c>
      <c r="C554" s="4" t="str">
        <f t="shared" si="2"/>
        <v>Sem 2</v>
      </c>
      <c r="D554" s="4" t="s">
        <v>21</v>
      </c>
      <c r="E554" s="4" t="s">
        <v>24</v>
      </c>
      <c r="F554" s="4" t="s">
        <v>25</v>
      </c>
      <c r="G554" s="5">
        <v>3500.0</v>
      </c>
    </row>
    <row r="555" ht="22.5" customHeight="1">
      <c r="A555" s="6">
        <v>45285.0</v>
      </c>
      <c r="B555" s="4" t="str">
        <f t="shared" si="1"/>
        <v>T4</v>
      </c>
      <c r="C555" s="4" t="str">
        <f t="shared" si="2"/>
        <v>Sem 2</v>
      </c>
      <c r="D555" s="4" t="s">
        <v>7</v>
      </c>
      <c r="E555" s="4" t="s">
        <v>8</v>
      </c>
      <c r="F555" s="4" t="s">
        <v>26</v>
      </c>
      <c r="G555" s="5">
        <v>196.0</v>
      </c>
    </row>
    <row r="556" ht="22.5" customHeight="1">
      <c r="A556" s="6">
        <v>45286.0</v>
      </c>
      <c r="B556" s="4" t="str">
        <f t="shared" si="1"/>
        <v>T4</v>
      </c>
      <c r="C556" s="4" t="str">
        <f t="shared" si="2"/>
        <v>Sem 2</v>
      </c>
      <c r="D556" s="4" t="s">
        <v>7</v>
      </c>
      <c r="E556" s="4" t="s">
        <v>8</v>
      </c>
      <c r="F556" s="4" t="s">
        <v>27</v>
      </c>
      <c r="G556" s="5">
        <v>500.0</v>
      </c>
    </row>
    <row r="557" ht="22.5" customHeight="1">
      <c r="A557" s="6">
        <v>45288.0</v>
      </c>
      <c r="B557" s="4" t="str">
        <f t="shared" si="1"/>
        <v>T4</v>
      </c>
      <c r="C557" s="4" t="str">
        <f t="shared" si="2"/>
        <v>Sem 2</v>
      </c>
      <c r="D557" s="4" t="s">
        <v>7</v>
      </c>
      <c r="E557" s="4" t="s">
        <v>8</v>
      </c>
      <c r="F557" s="4" t="s">
        <v>9</v>
      </c>
      <c r="G557" s="5">
        <v>194.0</v>
      </c>
    </row>
    <row r="558" ht="22.5" customHeight="1">
      <c r="A558" s="6">
        <v>45288.0</v>
      </c>
      <c r="B558" s="4" t="str">
        <f t="shared" si="1"/>
        <v>T4</v>
      </c>
      <c r="C558" s="4" t="str">
        <f t="shared" si="2"/>
        <v>Sem 2</v>
      </c>
      <c r="D558" s="4" t="s">
        <v>7</v>
      </c>
      <c r="E558" s="4" t="s">
        <v>8</v>
      </c>
      <c r="F558" s="4" t="s">
        <v>28</v>
      </c>
      <c r="G558" s="5">
        <v>80.0</v>
      </c>
    </row>
    <row r="559" ht="22.5" customHeight="1">
      <c r="A559" s="6">
        <v>45288.0</v>
      </c>
      <c r="B559" s="4" t="str">
        <f t="shared" si="1"/>
        <v>T4</v>
      </c>
      <c r="C559" s="4" t="str">
        <f t="shared" si="2"/>
        <v>Sem 2</v>
      </c>
      <c r="D559" s="4" t="s">
        <v>7</v>
      </c>
      <c r="E559" s="4" t="s">
        <v>8</v>
      </c>
      <c r="F559" s="4" t="s">
        <v>28</v>
      </c>
      <c r="G559" s="5">
        <v>80.0</v>
      </c>
    </row>
    <row r="560" ht="22.5" customHeight="1">
      <c r="A560" s="6">
        <v>45289.0</v>
      </c>
      <c r="B560" s="4" t="str">
        <f t="shared" si="1"/>
        <v>T4</v>
      </c>
      <c r="C560" s="4" t="str">
        <f t="shared" si="2"/>
        <v>Sem 2</v>
      </c>
      <c r="D560" s="4" t="s">
        <v>7</v>
      </c>
      <c r="E560" s="4" t="s">
        <v>8</v>
      </c>
      <c r="F560" s="4" t="s">
        <v>29</v>
      </c>
      <c r="G560" s="5">
        <v>134.0</v>
      </c>
    </row>
    <row r="561" ht="22.5" customHeight="1">
      <c r="A561" s="6">
        <v>45290.0</v>
      </c>
      <c r="B561" s="4" t="str">
        <f t="shared" si="1"/>
        <v>T4</v>
      </c>
      <c r="C561" s="4" t="str">
        <f t="shared" si="2"/>
        <v>Sem 2</v>
      </c>
      <c r="D561" s="4" t="s">
        <v>7</v>
      </c>
      <c r="E561" s="4" t="s">
        <v>8</v>
      </c>
      <c r="F561" s="4" t="s">
        <v>30</v>
      </c>
      <c r="G561" s="5">
        <v>182.0</v>
      </c>
    </row>
    <row r="562" ht="22.5" customHeight="1">
      <c r="A562" s="6">
        <v>45290.0</v>
      </c>
      <c r="B562" s="4" t="str">
        <f t="shared" si="1"/>
        <v>T4</v>
      </c>
      <c r="C562" s="4" t="str">
        <f t="shared" si="2"/>
        <v>Sem 2</v>
      </c>
      <c r="D562" s="4" t="s">
        <v>7</v>
      </c>
      <c r="E562" s="4" t="s">
        <v>13</v>
      </c>
      <c r="F562" s="4" t="s">
        <v>31</v>
      </c>
      <c r="G562" s="5">
        <v>60.0</v>
      </c>
    </row>
    <row r="563" ht="22.5" customHeight="1">
      <c r="A563" s="6">
        <v>45291.0</v>
      </c>
      <c r="B563" s="4" t="str">
        <f t="shared" si="1"/>
        <v>T4</v>
      </c>
      <c r="C563" s="4" t="str">
        <f t="shared" si="2"/>
        <v>Sem 2</v>
      </c>
      <c r="D563" s="4" t="s">
        <v>7</v>
      </c>
      <c r="E563" s="4" t="s">
        <v>15</v>
      </c>
      <c r="F563" s="4" t="s">
        <v>32</v>
      </c>
      <c r="G563" s="5">
        <v>50.0</v>
      </c>
    </row>
  </sheetData>
  <customSheetViews>
    <customSheetView guid="{AEC65018-F8D7-45EA-8A4E-A41562D28F56}" filter="1" showAutoFilter="1">
      <autoFilter ref="$A$1:$G$563"/>
    </customSheetView>
    <customSheetView guid="{AEC65018-F8D7-45EA-8A4E-A41562D28F56}" filter="1" showAutoFilter="1">
      <autoFilter ref="$A$1:$G$563"/>
    </customSheetView>
  </customSheetViews>
  <dataValidations>
    <dataValidation type="custom" allowBlank="1" showDropDown="1" sqref="G2:G563">
      <formula1>AND(ISNUMBER(G2),(NOT(OR(NOT(ISERROR(DATEVALUE(G2))), AND(ISNUMBER(G2), LEFT(CELL("format", G2))="D")))))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0.25"/>
  </cols>
  <sheetData>
    <row r="1" ht="22.5" customHeight="1">
      <c r="A1" s="1" t="s">
        <v>34</v>
      </c>
      <c r="B1" s="1" t="s">
        <v>35</v>
      </c>
      <c r="C1" s="7" t="s">
        <v>36</v>
      </c>
    </row>
    <row r="2" ht="22.5" customHeight="1">
      <c r="A2" s="4" t="s">
        <v>37</v>
      </c>
      <c r="B2" s="5">
        <v>5000.0</v>
      </c>
      <c r="C2" s="8">
        <v>209.0</v>
      </c>
    </row>
    <row r="3" ht="22.5" customHeight="1">
      <c r="A3" s="4" t="s">
        <v>38</v>
      </c>
      <c r="B3" s="5">
        <v>5000.0</v>
      </c>
      <c r="C3" s="8">
        <v>209.0</v>
      </c>
    </row>
    <row r="4" ht="22.5" customHeight="1">
      <c r="A4" s="4" t="s">
        <v>39</v>
      </c>
      <c r="B4" s="5">
        <v>5500.0</v>
      </c>
      <c r="C4" s="8">
        <v>209.0</v>
      </c>
    </row>
    <row r="5" ht="22.5" customHeight="1">
      <c r="A5" s="4" t="s">
        <v>40</v>
      </c>
      <c r="B5" s="5">
        <v>6000.0</v>
      </c>
      <c r="C5" s="8">
        <v>209.0</v>
      </c>
    </row>
    <row r="6" ht="22.5" customHeight="1">
      <c r="A6" s="4" t="s">
        <v>41</v>
      </c>
      <c r="B6" s="5">
        <v>6500.0</v>
      </c>
      <c r="C6" s="8">
        <v>209.0</v>
      </c>
    </row>
    <row r="7" ht="22.5" customHeight="1">
      <c r="A7" s="4" t="s">
        <v>42</v>
      </c>
      <c r="B7" s="5">
        <v>5000.0</v>
      </c>
      <c r="C7" s="8">
        <v>209.0</v>
      </c>
    </row>
    <row r="8" ht="22.5" customHeight="1">
      <c r="A8" s="4" t="s">
        <v>43</v>
      </c>
      <c r="B8" s="5">
        <v>4000.0</v>
      </c>
      <c r="C8" s="8">
        <v>209.0</v>
      </c>
    </row>
    <row r="9" ht="22.5" customHeight="1">
      <c r="A9" s="4" t="s">
        <v>44</v>
      </c>
      <c r="B9" s="5">
        <v>5000.0</v>
      </c>
      <c r="C9" s="8">
        <v>209.0</v>
      </c>
    </row>
    <row r="10" ht="22.5" customHeight="1">
      <c r="A10" s="4" t="s">
        <v>45</v>
      </c>
      <c r="B10" s="5">
        <v>4500.0</v>
      </c>
      <c r="C10" s="8">
        <v>209.0</v>
      </c>
    </row>
    <row r="11" ht="22.5" customHeight="1">
      <c r="A11" s="4" t="s">
        <v>46</v>
      </c>
      <c r="B11" s="5">
        <v>5500.0</v>
      </c>
      <c r="C11" s="8">
        <v>209.0</v>
      </c>
    </row>
    <row r="12" ht="22.5" customHeight="1">
      <c r="A12" s="4" t="s">
        <v>47</v>
      </c>
      <c r="B12" s="5">
        <v>6000.0</v>
      </c>
      <c r="C12" s="8">
        <v>209.0</v>
      </c>
    </row>
    <row r="13" ht="22.5" customHeight="1">
      <c r="A13" s="4" t="s">
        <v>48</v>
      </c>
      <c r="B13" s="5">
        <v>6500.0</v>
      </c>
      <c r="C13" s="8">
        <v>209.0</v>
      </c>
    </row>
  </sheetData>
  <dataValidations>
    <dataValidation type="custom" allowBlank="1" showDropDown="1" sqref="B2:C13">
      <formula1>AND(ISNUMBER(B2),(NOT(OR(NOT(ISERROR(DATEVALUE(B2))), AND(ISNUMBER(B2), LEFT(CELL("format", B2))="D")))))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44" max="44" width="17.13"/>
    <col customWidth="1" min="52" max="52" width="17.88"/>
    <col customWidth="1" min="53" max="53" width="10.63"/>
  </cols>
  <sheetData>
    <row r="5">
      <c r="T5" s="9" t="s">
        <v>49</v>
      </c>
      <c r="W5" s="9" t="s">
        <v>50</v>
      </c>
      <c r="AD5" s="9" t="s">
        <v>51</v>
      </c>
      <c r="AK5" s="9" t="s">
        <v>52</v>
      </c>
      <c r="AU5" s="9" t="s">
        <v>53</v>
      </c>
      <c r="AY5" s="9" t="s">
        <v>21</v>
      </c>
      <c r="BB5" s="9" t="s">
        <v>7</v>
      </c>
    </row>
    <row r="7">
      <c r="O7" s="10"/>
      <c r="AG7" s="9" t="s">
        <v>34</v>
      </c>
      <c r="AH7" s="9" t="s">
        <v>21</v>
      </c>
      <c r="AI7" s="9" t="s">
        <v>35</v>
      </c>
    </row>
    <row r="8">
      <c r="AA8" s="9" t="s">
        <v>34</v>
      </c>
      <c r="AB8" s="9" t="s">
        <v>57</v>
      </c>
      <c r="AG8" s="12" t="str">
        <f t="shared" ref="AG8:AH8" si="1">AD8</f>
        <v>ene</v>
      </c>
      <c r="AH8" s="13">
        <f t="shared" si="1"/>
        <v>4500</v>
      </c>
      <c r="AI8" s="13">
        <f>'Meta - Ingresos y Ahorro '!B2</f>
        <v>5000</v>
      </c>
      <c r="AO8" s="9" t="s">
        <v>34</v>
      </c>
      <c r="AP8" s="9" t="s">
        <v>57</v>
      </c>
      <c r="AR8" s="9" t="s">
        <v>34</v>
      </c>
      <c r="AS8" s="9" t="s">
        <v>58</v>
      </c>
      <c r="AT8" s="9"/>
      <c r="AX8" s="9"/>
      <c r="AZ8" s="9"/>
      <c r="BC8" s="9"/>
      <c r="BD8" s="9"/>
      <c r="BE8" s="9"/>
      <c r="BF8" s="9"/>
      <c r="BG8" s="9"/>
      <c r="BH8" s="9"/>
      <c r="BI8" s="9"/>
      <c r="BJ8" s="9"/>
      <c r="BK8" s="9"/>
      <c r="BL8" s="9"/>
      <c r="BM8" s="9"/>
      <c r="BN8" s="9"/>
      <c r="BO8" s="9"/>
    </row>
    <row r="9">
      <c r="AA9" s="12" t="str">
        <f t="shared" ref="AA9:AA20" si="3">W9</f>
        <v>ene</v>
      </c>
      <c r="AB9" s="13">
        <f t="shared" ref="AB9:AB20" si="4">Y9-X9</f>
        <v>-155</v>
      </c>
      <c r="AG9" s="12" t="str">
        <f t="shared" ref="AG9:AH9" si="2">AD9</f>
        <v>feb</v>
      </c>
      <c r="AH9" s="13">
        <f t="shared" si="2"/>
        <v>5000</v>
      </c>
      <c r="AI9" s="13">
        <f>'Meta - Ingresos y Ahorro '!B3</f>
        <v>5000</v>
      </c>
      <c r="AO9" s="12" t="str">
        <f t="shared" ref="AO9:AO20" si="6">AK9</f>
        <v>ene</v>
      </c>
      <c r="AP9" s="13">
        <f t="shared" ref="AP9:AP20" si="7">AM9-AL9</f>
        <v>-155</v>
      </c>
      <c r="AR9" s="12" t="str">
        <f t="shared" ref="AR9:AR20" si="8">AO9</f>
        <v>ene</v>
      </c>
      <c r="AS9" s="13">
        <f t="shared" ref="AS9:AS20" si="9">IF(AP9&lt;=-1,AP9*0,AP9*20%)</f>
        <v>0</v>
      </c>
    </row>
    <row r="10">
      <c r="AA10" s="12" t="str">
        <f t="shared" si="3"/>
        <v>feb</v>
      </c>
      <c r="AB10" s="13">
        <f t="shared" si="4"/>
        <v>558</v>
      </c>
      <c r="AG10" s="12" t="str">
        <f t="shared" ref="AG10:AH10" si="5">AD10</f>
        <v>mar</v>
      </c>
      <c r="AH10" s="13">
        <f t="shared" si="5"/>
        <v>5500</v>
      </c>
      <c r="AI10" s="13">
        <f>'Meta - Ingresos y Ahorro '!B4</f>
        <v>5500</v>
      </c>
      <c r="AO10" s="12" t="str">
        <f t="shared" si="6"/>
        <v>feb</v>
      </c>
      <c r="AP10" s="13">
        <f t="shared" si="7"/>
        <v>558</v>
      </c>
      <c r="AR10" s="12" t="str">
        <f t="shared" si="8"/>
        <v>feb</v>
      </c>
      <c r="AS10" s="13">
        <f t="shared" si="9"/>
        <v>111.6</v>
      </c>
    </row>
    <row r="11">
      <c r="AA11" s="12" t="str">
        <f t="shared" si="3"/>
        <v>mar</v>
      </c>
      <c r="AB11" s="13">
        <f t="shared" si="4"/>
        <v>2065</v>
      </c>
      <c r="AG11" s="12" t="str">
        <f t="shared" ref="AG11:AH11" si="10">AD11</f>
        <v>abr</v>
      </c>
      <c r="AH11" s="13">
        <f t="shared" si="10"/>
        <v>6000</v>
      </c>
      <c r="AI11" s="13">
        <f>'Meta - Ingresos y Ahorro '!B5</f>
        <v>6000</v>
      </c>
      <c r="AO11" s="12" t="str">
        <f t="shared" si="6"/>
        <v>mar</v>
      </c>
      <c r="AP11" s="13">
        <f t="shared" si="7"/>
        <v>2065</v>
      </c>
      <c r="AR11" s="12" t="str">
        <f t="shared" si="8"/>
        <v>mar</v>
      </c>
      <c r="AS11" s="13">
        <f t="shared" si="9"/>
        <v>413</v>
      </c>
      <c r="AZ11" s="9" t="s">
        <v>62</v>
      </c>
      <c r="BA11" s="13">
        <f>AY8-BB8</f>
        <v>1742</v>
      </c>
    </row>
    <row r="12">
      <c r="AA12" s="12" t="str">
        <f t="shared" si="3"/>
        <v>abr</v>
      </c>
      <c r="AB12" s="13">
        <f t="shared" si="4"/>
        <v>1616</v>
      </c>
      <c r="AG12" s="12" t="str">
        <f t="shared" ref="AG12:AH12" si="11">AD12</f>
        <v>may</v>
      </c>
      <c r="AH12" s="13">
        <f t="shared" si="11"/>
        <v>5700</v>
      </c>
      <c r="AI12" s="13">
        <f>'Meta - Ingresos y Ahorro '!B6</f>
        <v>6500</v>
      </c>
      <c r="AO12" s="12" t="str">
        <f t="shared" si="6"/>
        <v>abr</v>
      </c>
      <c r="AP12" s="13">
        <f t="shared" si="7"/>
        <v>1616</v>
      </c>
      <c r="AR12" s="12" t="str">
        <f t="shared" si="8"/>
        <v>abr</v>
      </c>
      <c r="AS12" s="13">
        <f t="shared" si="9"/>
        <v>323.2</v>
      </c>
      <c r="AZ12" s="9" t="s">
        <v>58</v>
      </c>
      <c r="BA12" s="18">
        <f>AS22</f>
        <v>1228.4</v>
      </c>
    </row>
    <row r="13">
      <c r="AA13" s="12" t="str">
        <f t="shared" si="3"/>
        <v>may</v>
      </c>
      <c r="AB13" s="13">
        <f t="shared" si="4"/>
        <v>-256</v>
      </c>
      <c r="AG13" s="12" t="str">
        <f t="shared" ref="AG13:AH13" si="12">AD13</f>
        <v>jun</v>
      </c>
      <c r="AH13" s="13">
        <f t="shared" si="12"/>
        <v>5000</v>
      </c>
      <c r="AI13" s="13">
        <f>'Meta - Ingresos y Ahorro '!B7</f>
        <v>5000</v>
      </c>
      <c r="AO13" s="12" t="str">
        <f t="shared" si="6"/>
        <v>may</v>
      </c>
      <c r="AP13" s="13">
        <f t="shared" si="7"/>
        <v>-256</v>
      </c>
      <c r="AR13" s="12" t="str">
        <f t="shared" si="8"/>
        <v>may</v>
      </c>
      <c r="AS13" s="13">
        <f t="shared" si="9"/>
        <v>0</v>
      </c>
      <c r="AZ13" s="9" t="s">
        <v>66</v>
      </c>
      <c r="BA13" s="19">
        <f>BA11-BA12</f>
        <v>513.6</v>
      </c>
    </row>
    <row r="14">
      <c r="AA14" s="12" t="str">
        <f t="shared" si="3"/>
        <v>jun</v>
      </c>
      <c r="AB14" s="13">
        <f t="shared" si="4"/>
        <v>545</v>
      </c>
      <c r="AG14" s="12" t="str">
        <f t="shared" ref="AG14:AH14" si="13">AD14</f>
        <v>jul</v>
      </c>
      <c r="AH14" s="13">
        <f t="shared" si="13"/>
        <v>6200</v>
      </c>
      <c r="AI14" s="13">
        <f>'Meta - Ingresos y Ahorro '!B8</f>
        <v>4000</v>
      </c>
      <c r="AO14" s="12" t="str">
        <f t="shared" si="6"/>
        <v>jun</v>
      </c>
      <c r="AP14" s="13">
        <f t="shared" si="7"/>
        <v>545</v>
      </c>
      <c r="AR14" s="12" t="str">
        <f t="shared" si="8"/>
        <v>jun</v>
      </c>
      <c r="AS14" s="13">
        <f t="shared" si="9"/>
        <v>109</v>
      </c>
    </row>
    <row r="15">
      <c r="AA15" s="12" t="str">
        <f t="shared" si="3"/>
        <v>jul</v>
      </c>
      <c r="AB15" s="13">
        <f t="shared" si="4"/>
        <v>-92</v>
      </c>
      <c r="AG15" s="12" t="str">
        <f t="shared" ref="AG15:AH15" si="14">AD15</f>
        <v>ago</v>
      </c>
      <c r="AH15" s="13">
        <f t="shared" si="14"/>
        <v>4500</v>
      </c>
      <c r="AI15" s="13">
        <f>'Meta - Ingresos y Ahorro '!B9</f>
        <v>5000</v>
      </c>
      <c r="AO15" s="12" t="str">
        <f t="shared" si="6"/>
        <v>jul</v>
      </c>
      <c r="AP15" s="13">
        <f t="shared" si="7"/>
        <v>-92</v>
      </c>
      <c r="AR15" s="12" t="str">
        <f t="shared" si="8"/>
        <v>jul</v>
      </c>
      <c r="AS15" s="13">
        <f t="shared" si="9"/>
        <v>0</v>
      </c>
    </row>
    <row r="16">
      <c r="AA16" s="12" t="str">
        <f t="shared" si="3"/>
        <v>ago</v>
      </c>
      <c r="AB16" s="13">
        <f t="shared" si="4"/>
        <v>-926</v>
      </c>
      <c r="AG16" s="12" t="str">
        <f t="shared" ref="AG16:AH16" si="15">AD16</f>
        <v>sept</v>
      </c>
      <c r="AH16" s="13">
        <f t="shared" si="15"/>
        <v>5500</v>
      </c>
      <c r="AI16" s="13">
        <f>'Meta - Ingresos y Ahorro '!B10</f>
        <v>4500</v>
      </c>
      <c r="AO16" s="12" t="str">
        <f t="shared" si="6"/>
        <v>ago</v>
      </c>
      <c r="AP16" s="13">
        <f t="shared" si="7"/>
        <v>-926</v>
      </c>
      <c r="AR16" s="12" t="str">
        <f t="shared" si="8"/>
        <v>ago</v>
      </c>
      <c r="AS16" s="13">
        <f t="shared" si="9"/>
        <v>0</v>
      </c>
    </row>
    <row r="17">
      <c r="AA17" s="12" t="str">
        <f t="shared" si="3"/>
        <v>sept</v>
      </c>
      <c r="AB17" s="13">
        <f t="shared" si="4"/>
        <v>1358</v>
      </c>
      <c r="AG17" s="12" t="str">
        <f t="shared" ref="AG17:AH17" si="16">AD17</f>
        <v>oct</v>
      </c>
      <c r="AH17" s="13">
        <f t="shared" si="16"/>
        <v>4900</v>
      </c>
      <c r="AI17" s="13">
        <f>'Meta - Ingresos y Ahorro '!B11</f>
        <v>5500</v>
      </c>
      <c r="AO17" s="12" t="str">
        <f t="shared" si="6"/>
        <v>sept</v>
      </c>
      <c r="AP17" s="13">
        <f t="shared" si="7"/>
        <v>1358</v>
      </c>
      <c r="AR17" s="12" t="str">
        <f t="shared" si="8"/>
        <v>sept</v>
      </c>
      <c r="AS17" s="13">
        <f t="shared" si="9"/>
        <v>271.6</v>
      </c>
    </row>
    <row r="18">
      <c r="AA18" s="12" t="str">
        <f t="shared" si="3"/>
        <v>oct</v>
      </c>
      <c r="AB18" s="13">
        <f t="shared" si="4"/>
        <v>-1727</v>
      </c>
      <c r="AG18" s="12" t="str">
        <f t="shared" ref="AG18:AH18" si="17">AD18</f>
        <v>nov</v>
      </c>
      <c r="AH18" s="13">
        <f t="shared" si="17"/>
        <v>4500</v>
      </c>
      <c r="AI18" s="13">
        <f>'Meta - Ingresos y Ahorro '!B12</f>
        <v>6000</v>
      </c>
      <c r="AO18" s="12" t="str">
        <f t="shared" si="6"/>
        <v>oct</v>
      </c>
      <c r="AP18" s="13">
        <f t="shared" si="7"/>
        <v>-1727</v>
      </c>
      <c r="AR18" s="12" t="str">
        <f t="shared" si="8"/>
        <v>oct</v>
      </c>
      <c r="AS18" s="13">
        <f t="shared" si="9"/>
        <v>0</v>
      </c>
    </row>
    <row r="19">
      <c r="AA19" s="12" t="str">
        <f t="shared" si="3"/>
        <v>nov</v>
      </c>
      <c r="AB19" s="13">
        <f t="shared" si="4"/>
        <v>-999</v>
      </c>
      <c r="AG19" s="12" t="str">
        <f t="shared" ref="AG19:AH19" si="18">AD19</f>
        <v>dic</v>
      </c>
      <c r="AH19" s="13">
        <f t="shared" si="18"/>
        <v>6500</v>
      </c>
      <c r="AI19" s="13">
        <f>'Meta - Ingresos y Ahorro '!B13</f>
        <v>6500</v>
      </c>
      <c r="AO19" s="12" t="str">
        <f t="shared" si="6"/>
        <v>nov</v>
      </c>
      <c r="AP19" s="13">
        <f t="shared" si="7"/>
        <v>-999</v>
      </c>
      <c r="AR19" s="12" t="str">
        <f t="shared" si="8"/>
        <v>nov</v>
      </c>
      <c r="AS19" s="13">
        <f t="shared" si="9"/>
        <v>0</v>
      </c>
    </row>
    <row r="20">
      <c r="AA20" s="12" t="str">
        <f t="shared" si="3"/>
        <v>dic</v>
      </c>
      <c r="AB20" s="13">
        <f t="shared" si="4"/>
        <v>-245</v>
      </c>
      <c r="AO20" s="12" t="str">
        <f t="shared" si="6"/>
        <v>dic</v>
      </c>
      <c r="AP20" s="13">
        <f t="shared" si="7"/>
        <v>-245</v>
      </c>
      <c r="AR20" s="12" t="str">
        <f t="shared" si="8"/>
        <v>dic</v>
      </c>
      <c r="AS20" s="13">
        <f t="shared" si="9"/>
        <v>0</v>
      </c>
    </row>
    <row r="21">
      <c r="AG21" s="9" t="s">
        <v>73</v>
      </c>
      <c r="AH21" s="13">
        <f t="shared" ref="AH21:AI21" si="19">SUM(AH8:AH19)</f>
        <v>63800</v>
      </c>
      <c r="AI21" s="13">
        <f t="shared" si="19"/>
        <v>64500</v>
      </c>
    </row>
    <row r="22">
      <c r="AR22" s="9" t="s">
        <v>74</v>
      </c>
      <c r="AS22" s="13">
        <f>SUM(AS9:AS20)</f>
        <v>1228.4</v>
      </c>
    </row>
    <row r="23">
      <c r="AG23" s="9" t="s">
        <v>75</v>
      </c>
      <c r="AH23" s="17">
        <f>(AH21/AI21)-1</f>
        <v>-0.01085271318</v>
      </c>
      <c r="AR23" s="9" t="s">
        <v>76</v>
      </c>
      <c r="AS23" s="20">
        <f>SUM(Saldo_Ahorro[Meta de Ahorro])</f>
        <v>2508</v>
      </c>
    </row>
    <row r="25">
      <c r="AR25" s="9" t="s">
        <v>77</v>
      </c>
      <c r="AS25" s="17">
        <f>(AS22/AS23)-1</f>
        <v>-0.5102073365</v>
      </c>
    </row>
  </sheetData>
  <drawing r:id="rId8"/>
  <extLst>
    <ext uri="{3A4CF648-6AED-40f4-86FF-DC5316D8AED3}">
      <x14:slicerList>
        <x14:slicer r:id="rId9"/>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